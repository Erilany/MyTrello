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24226"/>
  <mc:AlternateContent xmlns:mc="http://schemas.openxmlformats.org/markup-compatibility/2006">
    <mc:Choice Requires="x15">
      <x15ac:absPath xmlns:x15ac="http://schemas.microsoft.com/office/spreadsheetml/2010/11/ac" url="C:\Users\Eric\Documents\GitHub\MyTrello\"/>
    </mc:Choice>
  </mc:AlternateContent>
  <xr:revisionPtr revIDLastSave="0" documentId="8_{34A8FB75-C98F-4543-B01A-927BE01CA736}" xr6:coauthVersionLast="47" xr6:coauthVersionMax="47" xr10:uidLastSave="{00000000-0000-0000-0000-000000000000}"/>
  <bookViews>
    <workbookView xWindow="-120" yWindow="-120" windowWidth="24240" windowHeight="13020" xr2:uid="{1517957E-9AE2-4FC9-8B75-880F694A91C3}"/>
  </bookViews>
  <sheets>
    <sheet name="Fiche Creation Commande (P1)" sheetId="1" r:id="rId1"/>
    <sheet name="Fiche Creation Commande (P2)" sheetId="2" r:id="rId2"/>
  </sheets>
  <definedNames>
    <definedName name="CaseACocher1" localSheetId="0">'Fiche Creation Commande (P1)'!#REF!</definedName>
    <definedName name="CaseACocher1" localSheetId="1">'Fiche Creation Commande (P2)'!#REF!</definedName>
    <definedName name="_xlnm.Print_Area" localSheetId="0">'Fiche Creation Commande (P1)'!$B$162:$V$306</definedName>
    <definedName name="_xlnm.Print_Area" localSheetId="1">'Fiche Creation Commande (P2)'!$B$18:$S$142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83" i="1" l="1"/>
  <c r="H162" i="1"/>
  <c r="S162" i="1"/>
  <c r="O4" i="2"/>
  <c r="B174" i="1"/>
  <c r="E9" i="2"/>
  <c r="E7" i="2"/>
  <c r="E5" i="2"/>
  <c r="E4" i="2"/>
  <c r="E12" i="2"/>
  <c r="E11" i="2"/>
  <c r="E10" i="2"/>
  <c r="S4" i="2"/>
  <c r="Q140" i="2"/>
  <c r="Q135" i="2"/>
  <c r="Q130" i="2"/>
  <c r="Q125" i="2"/>
  <c r="Q120" i="2"/>
  <c r="Q115" i="2"/>
  <c r="Q110" i="2"/>
  <c r="Q105" i="2"/>
  <c r="Q100" i="2"/>
  <c r="Q95" i="2"/>
  <c r="Q90" i="2"/>
  <c r="V81" i="2"/>
  <c r="Q27" i="2"/>
  <c r="V18" i="2"/>
  <c r="Q77" i="2"/>
  <c r="Q72" i="2"/>
  <c r="Q67" i="2"/>
  <c r="Q62" i="2"/>
  <c r="Q57" i="2"/>
  <c r="Q52" i="2"/>
  <c r="Q47" i="2"/>
  <c r="Q42" i="2"/>
  <c r="Q37" i="2"/>
  <c r="Q32" i="2"/>
  <c r="T223" i="1"/>
  <c r="T218" i="1"/>
  <c r="T213" i="1"/>
  <c r="T208" i="1"/>
  <c r="T203" i="1"/>
  <c r="T198" i="1"/>
  <c r="T193" i="1"/>
  <c r="T188" i="1"/>
  <c r="T178" i="1"/>
  <c r="R225" i="1"/>
  <c r="O21" i="2"/>
  <c r="O79" i="2"/>
  <c r="H21" i="2"/>
  <c r="O83" i="2"/>
  <c r="N18" i="2"/>
  <c r="J18" i="2"/>
  <c r="O20" i="2"/>
  <c r="B22" i="2"/>
  <c r="P81" i="2"/>
  <c r="P18" i="2"/>
  <c r="H84" i="2"/>
  <c r="B85" i="2"/>
  <c r="N81" i="2"/>
  <c r="J81" i="2"/>
  <c r="O84" i="2"/>
  <c r="O142" i="2"/>
  <c r="AE145" i="1"/>
  <c r="AE149" i="1"/>
  <c r="O10" i="2"/>
  <c r="O9" i="2"/>
  <c r="O13" i="2"/>
  <c r="AE144" i="1"/>
  <c r="AE148" i="1"/>
  <c r="AE143" i="1"/>
  <c r="AE147" i="1"/>
  <c r="O8" i="2"/>
  <c r="O12" i="2"/>
  <c r="D296" i="1"/>
  <c r="J79" i="2"/>
  <c r="O14" i="2"/>
  <c r="L225" i="1"/>
  <c r="D300" i="1"/>
</calcChain>
</file>

<file path=xl/sharedStrings.xml><?xml version="1.0" encoding="utf-8"?>
<sst xmlns="http://schemas.openxmlformats.org/spreadsheetml/2006/main" count="1316" uniqueCount="340">
  <si>
    <t>Zone avec formule</t>
  </si>
  <si>
    <t>Genre</t>
  </si>
  <si>
    <t>%</t>
  </si>
  <si>
    <t>POSTE</t>
  </si>
  <si>
    <t>POSTE MAF</t>
  </si>
  <si>
    <t>ETUDES LIAISONS</t>
  </si>
  <si>
    <t>oui</t>
  </si>
  <si>
    <t>non</t>
  </si>
  <si>
    <t>CABLIERS</t>
  </si>
  <si>
    <t>Cde</t>
  </si>
  <si>
    <t>SPS</t>
  </si>
  <si>
    <t>Aucun</t>
  </si>
  <si>
    <t>MODELE</t>
  </si>
  <si>
    <t>se baser sur</t>
  </si>
  <si>
    <t>AUTRES :</t>
  </si>
  <si>
    <t>Créer Cde</t>
  </si>
  <si>
    <t>Statut circulation Parapheur</t>
  </si>
  <si>
    <t>AVENANT</t>
  </si>
  <si>
    <t>Cde Complémentaire</t>
  </si>
  <si>
    <t>Création/impr.essai</t>
  </si>
  <si>
    <t>Impression définitive</t>
  </si>
  <si>
    <t>Circuit signature [ Aix ]</t>
  </si>
  <si>
    <t>IDEM</t>
  </si>
  <si>
    <t>Circuit signature [ Paris ]</t>
  </si>
  <si>
    <t>AUTRE :</t>
  </si>
  <si>
    <t>Envoi Fournisseur</t>
  </si>
  <si>
    <t>Un complément d'information sera à inscrire dans la commande selon le modèle d'exécution du marché cadre.
Tout information complémentaire à renseigner dans la commande peut nous être apporté ici
Par défaut, nous faisons une copie de la commande + du CCTP. Merci de nous indiquer si vous souhaitez d'autres pièces scannées ou phocopiées.
Une fois le parapheur complété, merci de rassembler tous les éléments qui ne doivent pas être envoyés dans la mesure du possible.</t>
  </si>
  <si>
    <t>Zone d'impression</t>
  </si>
  <si>
    <t>CREATION COMMANDE :</t>
  </si>
  <si>
    <t>Demandeur</t>
  </si>
  <si>
    <t>Affaire</t>
  </si>
  <si>
    <t>Coordonnées entreprise</t>
  </si>
  <si>
    <t>(Si) Marché Cadre N° :</t>
  </si>
  <si>
    <t>Date réception</t>
  </si>
  <si>
    <t>POSTE | POSTE MAF | ETUDES LIAISONS | TRVX LA | TRVX LS | F.O. | CABLIERS | F.S. | SPS | AUTRES :</t>
  </si>
  <si>
    <t>Qté</t>
  </si>
  <si>
    <t>OTP</t>
  </si>
  <si>
    <r>
      <t>JOINDRE</t>
    </r>
    <r>
      <rPr>
        <b/>
        <sz val="9"/>
        <rFont val="Calibri"/>
        <family val="2"/>
      </rPr>
      <t xml:space="preserve"> [FICHE ACHAT] - [FICHE CIRCULATION] - [MODELE D'EXECUTION MC EVENTUEL] - [PIECES JOINTES EVENTUELLES]</t>
    </r>
  </si>
  <si>
    <t>Date Limite de Traitement</t>
  </si>
  <si>
    <t>INFORMATIONS / Documents à scanner / imprimer avant envoi / Éléments à conserver</t>
  </si>
  <si>
    <t>La fiche de création (papier) restera au secrétariat tout au long de son parcours de signatures, cela nous permettra de vous informer sur son suivi plus finement.</t>
  </si>
  <si>
    <t>Souhait</t>
  </si>
  <si>
    <t>vous pouvez indiquer une date prévisionnelle pour la signature de la cde.</t>
  </si>
  <si>
    <t>Etudes</t>
  </si>
  <si>
    <t>exemple :</t>
  </si>
  <si>
    <t xml:space="preserve">Renseigner le décret en vigueur pour l'inscrire dans la commande (utiliser la liste déroulante). </t>
  </si>
  <si>
    <t>En complément de l'affaire, l'objet sera inscrit en 2nde ligne de la commande.</t>
  </si>
  <si>
    <t>Adresse livraison</t>
  </si>
  <si>
    <r>
      <t xml:space="preserve">La commande ainsi que le CCTP signé </t>
    </r>
    <r>
      <rPr>
        <b/>
        <sz val="10"/>
        <color indexed="8"/>
        <rFont val="Calibri"/>
        <family val="2"/>
      </rPr>
      <t>vous sera transmis par mail par défaut</t>
    </r>
    <r>
      <rPr>
        <sz val="10"/>
        <color indexed="8"/>
        <rFont val="Calibri"/>
        <family val="2"/>
      </rPr>
      <t>, ou stocké dans le répertoire que vous nous indiquerez ici.</t>
    </r>
  </si>
  <si>
    <t>ZONE TRAITEMENT SECRETARIAT</t>
  </si>
  <si>
    <t>Date</t>
  </si>
  <si>
    <t>Acompte à la cde 30% ou autre.</t>
  </si>
  <si>
    <t>exemple d'une commande à 100.000€ avec 30% d'acompte</t>
  </si>
  <si>
    <r>
      <t>en cas de demande de</t>
    </r>
    <r>
      <rPr>
        <b/>
        <sz val="8"/>
        <color indexed="63"/>
        <rFont val="Calibri"/>
        <family val="2"/>
      </rPr>
      <t xml:space="preserve"> création du fournisseur</t>
    </r>
    <r>
      <rPr>
        <sz val="8"/>
        <color indexed="63"/>
        <rFont val="Calibri"/>
        <family val="2"/>
      </rPr>
      <t>, merci de nous fournir : un RIB et infos SIRET / kBis ainsi qu'un devis ! Un délai supplémentaire sera à prévoir…</t>
    </r>
  </si>
  <si>
    <t>Créateur de la Commande dans GCP :</t>
  </si>
  <si>
    <t>ANALYSES HUILES ET AUTRES LIQUIDES</t>
  </si>
  <si>
    <t>Catégorie 1</t>
  </si>
  <si>
    <t>Catégorie 2</t>
  </si>
  <si>
    <t>Catégorie 3</t>
  </si>
  <si>
    <t>Catégorie 4</t>
  </si>
  <si>
    <t>Catégorie 5</t>
  </si>
  <si>
    <t>Catégorie 6</t>
  </si>
  <si>
    <t>Appareils de manutention / levage</t>
  </si>
  <si>
    <t>Travaux</t>
  </si>
  <si>
    <t>Appareils de mesure</t>
  </si>
  <si>
    <t>Fourniture Matériel</t>
  </si>
  <si>
    <t>Prestations de diagnostics sur installations électriques</t>
  </si>
  <si>
    <t>ASSISTANCE MOA CONSTRUCT°/COORD SECURITE</t>
  </si>
  <si>
    <t>Prestations</t>
  </si>
  <si>
    <t>CONSOMMABLES BUREAUTIQUE ET INFORMATIQUE</t>
  </si>
  <si>
    <t>Maintenance</t>
  </si>
  <si>
    <t>DEMOLITION/EVACUATION OUVRAGE TRANSPORT</t>
  </si>
  <si>
    <t>Autres</t>
  </si>
  <si>
    <t>DEPLOIEMENT ELECTRE PETIT d F+T</t>
  </si>
  <si>
    <t>ENLEV/TRAIT DECHETS DANGEREUX AMIANT(DD)</t>
  </si>
  <si>
    <t>ENLEV/TRAIT DECHETS DANGEREUX AUTRES(DD)</t>
  </si>
  <si>
    <t>ENLEV/TRAIT DECHETS DANGEREUX PCB (DD)</t>
  </si>
  <si>
    <t>ENLEV/TRAIT DECHETS DANGEREUX SF6 (DD)</t>
  </si>
  <si>
    <t>ENLEV/TRAIT DECHETS NON DANGEREUX (DND)</t>
  </si>
  <si>
    <t>Etude Avifaune, faune, flore</t>
  </si>
  <si>
    <t>ETUDE TECHNIQUE - LIGNES AERIENNES</t>
  </si>
  <si>
    <t>Fourniture de matériels de comptage</t>
  </si>
  <si>
    <t>ETUDE TECHNIQUE - POSTE</t>
  </si>
  <si>
    <t>ETUDE TOPO/CARTOGRAPHIQUE - LIG  SOUTERR</t>
  </si>
  <si>
    <t>ETUDE TOPO/CARTOGRAPHIQUE - POSTE</t>
  </si>
  <si>
    <t>ETUDE TOPO/CARTOGRAPHIQUE-LIG AERIENNES</t>
  </si>
  <si>
    <t>Etudes acoustiques</t>
  </si>
  <si>
    <t>Etudes d'impact</t>
  </si>
  <si>
    <t>ETUDES ESSAIS &amp; QUALIF MATERIL CCL</t>
  </si>
  <si>
    <t>ETUDES GÉO-TECHNIQUES - LIGNES AÉRIENNES</t>
  </si>
  <si>
    <t>Etudes LS-ETUDE GEO - TECHNIQUE</t>
  </si>
  <si>
    <t>Etudes matériels pour lignes aériennes</t>
  </si>
  <si>
    <t>Etudes PO-ETUDES GÉO-TECHNIQUES - POSTES</t>
  </si>
  <si>
    <t>ETUDES TECHNIQUES - LIGNES SOUTERRAINES</t>
  </si>
  <si>
    <t>ETUDES TECHNIQUES LIGNES SOUS-MARINES</t>
  </si>
  <si>
    <t>Etudes-Architecte et Maîtrise d'oeuvre</t>
  </si>
  <si>
    <t>Fonçages - Forages dirigés</t>
  </si>
  <si>
    <t>Fourn, instal des systèmes de protection de postes</t>
  </si>
  <si>
    <t>Fourniture de câbles nus</t>
  </si>
  <si>
    <t>Fourniture de matériels de CCN des grands postes</t>
  </si>
  <si>
    <t>Fourniture de matériels de CCN des postes sources</t>
  </si>
  <si>
    <t>Fourniture de matériels de filerie</t>
  </si>
  <si>
    <t>Fourniture de matériels de protection et d'automatisme</t>
  </si>
  <si>
    <t>Fourniture de matériels de qualimétrie</t>
  </si>
  <si>
    <t>Fourniture de matériels de téléconduite</t>
  </si>
  <si>
    <t>FOURNITURE DE MOBILIER</t>
  </si>
  <si>
    <t>Fourniture de pièces détachées de PSEM</t>
  </si>
  <si>
    <t>Fourniture de pièces détachées et sous ensembles de disj HTB</t>
  </si>
  <si>
    <t>Fourniture de pièces détachées et sous ensembles de sect HTB</t>
  </si>
  <si>
    <t>Fourniture de postes intérieurs modulaires (PIM)</t>
  </si>
  <si>
    <t>Fourniture de postes sous enveloppe métallique HTB (PSEM)</t>
  </si>
  <si>
    <t>Fourniture de tourets</t>
  </si>
  <si>
    <t>Fourniture d'équipements et accessoires de transformateurs</t>
  </si>
  <si>
    <t>Fourniture d'équipements stations conversion courant continu</t>
  </si>
  <si>
    <t>FOURNITURES DE BUREAU</t>
  </si>
  <si>
    <t>Gardiennage</t>
  </si>
  <si>
    <t>GROS OEUVRE BATIMENT INDUSTRIEL (INVEST)</t>
  </si>
  <si>
    <t>Liaisons HT et THT-Four. Pylônes spéciaux U, architecturés, aéro-souterrains</t>
  </si>
  <si>
    <t>Maintenance de matériels d'ateliers d'énergie</t>
  </si>
  <si>
    <t>Maintenance de matériels de CCN</t>
  </si>
  <si>
    <t>Maintenance de matériels de comptage</t>
  </si>
  <si>
    <t>Maintenance de matériels de filerie</t>
  </si>
  <si>
    <t>Maintenance de matériels de protection et d'automatisme</t>
  </si>
  <si>
    <t>Maintenance de matériels de qualimétrie</t>
  </si>
  <si>
    <t>Maintenance de matériels de téléconduite</t>
  </si>
  <si>
    <t>Maintenance de stations de conversion</t>
  </si>
  <si>
    <t>Maintenance des appareillages HTB</t>
  </si>
  <si>
    <t>Maintenance des installations de protection des postes</t>
  </si>
  <si>
    <t>Maintenance des transformateurs et des matériels bobinés</t>
  </si>
  <si>
    <t>Maintenance et Contrôle réglementaire outillage</t>
  </si>
  <si>
    <t>Matériels de lignes</t>
  </si>
  <si>
    <t>Montage, installation des appareillages HTB</t>
  </si>
  <si>
    <t>Montage, installation transformateurs et matériels bobinés</t>
  </si>
  <si>
    <t>Outillage isolé HTBT / TST</t>
  </si>
  <si>
    <t>Petit matériel courant</t>
  </si>
  <si>
    <t>Photomontage - Simulation 3D</t>
  </si>
  <si>
    <t>PIECES DETACHEES POUR MATL DE CCN</t>
  </si>
  <si>
    <t>Postes HT et THT-Maintenance des matériels de compensation</t>
  </si>
  <si>
    <t>Postes HT et THT-Montage, installation des matériels de compensation</t>
  </si>
  <si>
    <t>SERVICES DE PRISE DE VUES AERIENNES</t>
  </si>
  <si>
    <t>SND OEUVRE BATIMENT INDUSTRIEL</t>
  </si>
  <si>
    <t>SND OEUVRE BATIMENTS D'HABITATION</t>
  </si>
  <si>
    <t>Système Électrique Insulaire sur Mandat</t>
  </si>
  <si>
    <t>Transport lourd</t>
  </si>
  <si>
    <t>Travaux bâtiments hors installations IRT</t>
  </si>
  <si>
    <t>TRAVAUX DE TERRASSEMENT</t>
  </si>
  <si>
    <t>Travaux Génie Civil Lignes Souterraines et déroulage</t>
  </si>
  <si>
    <t>TRAVAUX GENIE CIVIL -VRD- VOIES D'ACCES</t>
  </si>
  <si>
    <t>Travaux LA-Elagage</t>
  </si>
  <si>
    <t>Travaux LA-Fondations spéciales et GC LA</t>
  </si>
  <si>
    <t>Travaux LA-Installation, maintenance de FO</t>
  </si>
  <si>
    <t>Travaux LA-Travaux de montage LA</t>
  </si>
  <si>
    <t>Travaux LA-Travaux peinture sur pylônes</t>
  </si>
  <si>
    <t>TRAVAUX LIAISON PROVISOIRE (CAB. SECS)</t>
  </si>
  <si>
    <t>Travaux LS</t>
  </si>
  <si>
    <t>Travaux postes</t>
  </si>
  <si>
    <t/>
  </si>
  <si>
    <t>Précisez si il y a :</t>
  </si>
  <si>
    <r>
      <rPr>
        <b/>
        <sz val="10"/>
        <color indexed="8"/>
        <rFont val="Calibri"/>
        <family val="2"/>
      </rPr>
      <t>un Marché Cadre</t>
    </r>
    <r>
      <rPr>
        <sz val="10"/>
        <color indexed="8"/>
        <rFont val="Calibri"/>
        <family val="2"/>
      </rPr>
      <t>, dans ce cas, merci de nous transmettre le modèle d'exécution éventuel. Ou nous préciser le type de marché :</t>
    </r>
  </si>
  <si>
    <r>
      <rPr>
        <u/>
        <sz val="10"/>
        <color indexed="8"/>
        <rFont val="Calibri"/>
        <family val="2"/>
      </rPr>
      <t>Coordonnées de l'entreprise</t>
    </r>
    <r>
      <rPr>
        <sz val="10"/>
        <color indexed="8"/>
        <rFont val="Calibri"/>
        <family val="2"/>
      </rPr>
      <t xml:space="preserve"> : Privilégier le Nom et l'adresse précise ( tout éléments Code Postal/Ville / SIRET peut nous aider à retrouver plus facilement l'entreprise dans GCP (sauf dans le cas des marché cadre qui applique obligatoirement une seule et même adresse)
</t>
    </r>
    <r>
      <rPr>
        <b/>
        <sz val="10"/>
        <color indexed="8"/>
        <rFont val="Calibri"/>
        <family val="2"/>
      </rPr>
      <t/>
    </r>
  </si>
  <si>
    <t>Un champ libre "Autres" Vous permet de préciser pour un autre cas</t>
  </si>
  <si>
    <t>Total HT en euros</t>
  </si>
  <si>
    <t>Rappel de la fiche Création commande page 1</t>
  </si>
  <si>
    <t>N° Cde</t>
  </si>
  <si>
    <t>Type Cde</t>
  </si>
  <si>
    <t>Nom CP</t>
  </si>
  <si>
    <t>Totaux et sous-totaux</t>
  </si>
  <si>
    <t>Page 1</t>
  </si>
  <si>
    <t>Page 1+2</t>
  </si>
  <si>
    <t>Page 1+2+3</t>
  </si>
  <si>
    <t>Totaux</t>
  </si>
  <si>
    <t xml:space="preserve"> sous-totaux</t>
  </si>
  <si>
    <t>Montant Page 1</t>
  </si>
  <si>
    <t>Montant Page 2</t>
  </si>
  <si>
    <t>Montant Page 3</t>
  </si>
  <si>
    <t>INITIALE</t>
  </si>
  <si>
    <t>OBJET</t>
  </si>
  <si>
    <r>
      <rPr>
        <b/>
        <sz val="10"/>
        <color indexed="8"/>
        <rFont val="Calibri"/>
        <family val="2"/>
      </rPr>
      <t>Corps de la commande</t>
    </r>
    <r>
      <rPr>
        <sz val="10"/>
        <color indexed="8"/>
        <rFont val="Calibri"/>
        <family val="2"/>
      </rPr>
      <t xml:space="preserve"> : détailler les lignes à saisir dans la commande </t>
    </r>
    <r>
      <rPr>
        <i/>
        <sz val="10"/>
        <color indexed="8"/>
        <rFont val="Calibri"/>
        <family val="2"/>
      </rPr>
      <t>(il est à privilégier de reprendre éventuellement les détails du devis du fournisseur)</t>
    </r>
    <r>
      <rPr>
        <sz val="10"/>
        <color indexed="8"/>
        <rFont val="Calibri"/>
        <family val="2"/>
      </rPr>
      <t xml:space="preserve">
- </t>
    </r>
    <r>
      <rPr>
        <b/>
        <sz val="10"/>
        <color indexed="8"/>
        <rFont val="Calibri"/>
        <family val="2"/>
      </rPr>
      <t>la zone de texte dans GCP</t>
    </r>
    <r>
      <rPr>
        <sz val="10"/>
        <color indexed="8"/>
        <rFont val="Calibri"/>
        <family val="2"/>
      </rPr>
      <t xml:space="preserve"> est réduite, soyez concis, toutes précisions seront inscrites sur une 2ème ligne
- Les</t>
    </r>
    <r>
      <rPr>
        <b/>
        <sz val="10"/>
        <color indexed="8"/>
        <rFont val="Calibri"/>
        <family val="2"/>
      </rPr>
      <t xml:space="preserve"> Totaux de lignes</t>
    </r>
    <r>
      <rPr>
        <sz val="10"/>
        <color indexed="8"/>
        <rFont val="Calibri"/>
        <family val="2"/>
      </rPr>
      <t xml:space="preserve"> et le</t>
    </r>
    <r>
      <rPr>
        <b/>
        <sz val="10"/>
        <color indexed="8"/>
        <rFont val="Calibri"/>
        <family val="2"/>
      </rPr>
      <t xml:space="preserve"> Total final</t>
    </r>
    <r>
      <rPr>
        <sz val="10"/>
        <color indexed="8"/>
        <rFont val="Calibri"/>
        <family val="2"/>
      </rPr>
      <t xml:space="preserve"> sont calculés automatiquement. Attention aux arrondis qui peuvent être légèrement différents entre Excel et GCP : </t>
    </r>
    <r>
      <rPr>
        <b/>
        <sz val="10"/>
        <color indexed="8"/>
        <rFont val="Calibri"/>
        <family val="2"/>
      </rPr>
      <t>Indiquer une quantité et un montant unitaire !
- Une date de réception PAR ligne (poste)</t>
    </r>
    <r>
      <rPr>
        <sz val="10"/>
        <color indexed="8"/>
        <rFont val="Calibri"/>
        <family val="2"/>
      </rPr>
      <t xml:space="preserve">, pour information la date de réception indiqué en entête de la commande n'indique que la date la plus éloigné.
- </t>
    </r>
    <r>
      <rPr>
        <b/>
        <sz val="10"/>
        <color indexed="8"/>
        <rFont val="Calibri"/>
        <family val="2"/>
      </rPr>
      <t xml:space="preserve">Merci d'indiquer l'OTP complet </t>
    </r>
    <r>
      <rPr>
        <sz val="10"/>
        <color indexed="8"/>
        <rFont val="Calibri"/>
        <family val="2"/>
      </rPr>
      <t xml:space="preserve">... </t>
    </r>
    <r>
      <rPr>
        <i/>
        <sz val="10"/>
        <color indexed="8"/>
        <rFont val="Calibri"/>
        <family val="2"/>
      </rPr>
      <t>une liste déroulante</t>
    </r>
    <r>
      <rPr>
        <sz val="10"/>
        <color indexed="8"/>
        <rFont val="Calibri"/>
        <family val="2"/>
      </rPr>
      <t xml:space="preserve"> vous permet de nous informer qu'il faut éventuellement utiliser le même partout ou si il est différent pour chaque ligne ...</t>
    </r>
  </si>
  <si>
    <t>Date de Réception Unique</t>
  </si>
  <si>
    <t>OTP identique pour tous les postes</t>
  </si>
  <si>
    <t>OTP différent pour chaque poste</t>
  </si>
  <si>
    <t>Date réception différente selon les postes de la cde</t>
  </si>
  <si>
    <r>
      <t>si vous souhaitez ne saisir qu'</t>
    </r>
    <r>
      <rPr>
        <b/>
        <sz val="9"/>
        <color indexed="8"/>
        <rFont val="Calibri"/>
        <family val="2"/>
      </rPr>
      <t>un seul OTP</t>
    </r>
    <r>
      <rPr>
        <sz val="9"/>
        <color indexed="8"/>
        <rFont val="Calibri"/>
        <family val="2"/>
      </rPr>
      <t xml:space="preserve"> et une seule</t>
    </r>
    <r>
      <rPr>
        <b/>
        <sz val="9"/>
        <color indexed="8"/>
        <rFont val="Calibri"/>
        <family val="2"/>
      </rPr>
      <t xml:space="preserve"> date de réception</t>
    </r>
    <r>
      <rPr>
        <sz val="9"/>
        <color indexed="8"/>
        <rFont val="Calibri"/>
        <family val="2"/>
      </rPr>
      <t xml:space="preserve"> pour l'ensemble de la commande : 
Sélectionner l'un et/ou l'autre champs ci-contre puis rentrer l'information dans le premier poste de votre cde</t>
    </r>
  </si>
  <si>
    <t>S/traitances dans la cde (oui/non)</t>
  </si>
  <si>
    <t>Sous-traitance
Merci de nous avertir dès à présent si la commande va contenir de la Sous-traitance.</t>
  </si>
  <si>
    <t xml:space="preserve">
Merci de préciser le type de marché cadre dans la liste ci-contre
Si "Autres" merci de saisir dans le champ mise en valeur.</t>
  </si>
  <si>
    <t>TRAVAUX LA</t>
  </si>
  <si>
    <t>TRAVAUX LS</t>
  </si>
  <si>
    <t>FIBRE OPTIQUE</t>
  </si>
  <si>
    <t>FONDATIONS SPECIALES</t>
  </si>
  <si>
    <t>Décret (92/94)</t>
  </si>
  <si>
    <t>MISE A JOUR</t>
  </si>
  <si>
    <t>&gt;</t>
  </si>
  <si>
    <t>&lt;</t>
  </si>
  <si>
    <t>si MCEL/MCLA : modèle d'éxécution à intégrer dans la commande GCP</t>
  </si>
  <si>
    <t>Sauf les travaux LS Cablier : SILEC / PRYSMIAN / NKT / NEXANS / SOLIDAL</t>
  </si>
  <si>
    <t>Date :</t>
  </si>
  <si>
    <t>Tél. :</t>
  </si>
  <si>
    <t xml:space="preserve"> ETUDES ACOUSTIQUES</t>
  </si>
  <si>
    <t xml:space="preserve"> ETUDES D'IMPACT</t>
  </si>
  <si>
    <t xml:space="preserve"> ETUDES-ARCHITECTE ET MAÎTRISE D'OEUVRE</t>
  </si>
  <si>
    <t xml:space="preserve"> ETUDE TECHNIQUE - LIGNES AERIENNES</t>
  </si>
  <si>
    <t xml:space="preserve"> ETUDE TOPO/CARTOGRAPHIQUE-LIG AERIENNES</t>
  </si>
  <si>
    <t xml:space="preserve"> ETUDES GÉO-TECHNIQUES - LIGNES AÉRIENNES</t>
  </si>
  <si>
    <t xml:space="preserve"> ETUDES MATÉRIELS POUR LIGNES AÉRIENNES</t>
  </si>
  <si>
    <t xml:space="preserve"> ETUDE TECHNIQUE - POSTE</t>
  </si>
  <si>
    <t xml:space="preserve"> ETUDE TOPO/CARTOGRAPHIQUE - POSTE</t>
  </si>
  <si>
    <t xml:space="preserve"> ETUDES ESSAIS &amp; QUALIF MATERIL CCL</t>
  </si>
  <si>
    <t xml:space="preserve"> ETUDES PO-ETUDES GÉO-TECHNIQUES - POSTES</t>
  </si>
  <si>
    <t xml:space="preserve"> ETUDE TOPO/CARTOGRAPHIQUE - LIG  SOUTERR</t>
  </si>
  <si>
    <t xml:space="preserve"> ETUDES LS-ETUDE GEO - TECHNIQUE</t>
  </si>
  <si>
    <t xml:space="preserve"> ETUDES TECHNIQUES - LIGNES SOUTERRAINES</t>
  </si>
  <si>
    <t xml:space="preserve"> ETUDES TECHNIQUES LIGNES SOUS-MARINES</t>
  </si>
  <si>
    <t xml:space="preserve"> ETUDE AVIFAUNE, FAUNE, FLORE</t>
  </si>
  <si>
    <t xml:space="preserve"> TRAVAUX LS</t>
  </si>
  <si>
    <t xml:space="preserve"> SYSTÈME ÉLECTRIQUE INSULAIRE SUR MANDAT</t>
  </si>
  <si>
    <t xml:space="preserve"> LIAISONS HT ET THT-FOUR. PYLÔNES SPÉCIAUX U, ARCHITECTURÉS, AÉRO-SOUTERRAINS</t>
  </si>
  <si>
    <t xml:space="preserve"> TRAVAUX LA-ELAGAGE</t>
  </si>
  <si>
    <t xml:space="preserve"> TRAVAUX LA-FONDATIONS SPÉCIALES ET GC LA</t>
  </si>
  <si>
    <t xml:space="preserve"> TRAVAUX LA-INSTALLATION, MAINTENANCE DE FO</t>
  </si>
  <si>
    <t xml:space="preserve"> TRAVAUX LA-TRAVAUX DE MONTAGE LA</t>
  </si>
  <si>
    <t xml:space="preserve"> TRAVAUX LA-TRAVAUX PEINTURE SUR PYLÔNES</t>
  </si>
  <si>
    <t xml:space="preserve"> DEPLOIEMENT ELECTRE PETIT D F+T</t>
  </si>
  <si>
    <t xml:space="preserve"> GROS OEUVRE BATIMENT INDUSTRIEL (INVEST)</t>
  </si>
  <si>
    <t xml:space="preserve"> MONTAGE, INSTALLATION DES APPAREILLAGES HTB</t>
  </si>
  <si>
    <t xml:space="preserve"> MONTAGE, INSTALLATION TRANSFORMATEURS ET MATÉRIELS BOBINÉS</t>
  </si>
  <si>
    <t xml:space="preserve"> POSTES HT ET THT-MONTAGE, INSTALLATION DES MATÉRIELS DE COMPENSATION</t>
  </si>
  <si>
    <t xml:space="preserve"> SND OEUVRE BATIMENT INDUSTRIEL</t>
  </si>
  <si>
    <t xml:space="preserve"> SND OEUVRE BATIMENTS D'HABITATION</t>
  </si>
  <si>
    <t xml:space="preserve"> TRAVAUX BÂTIMENTS HORS INSTALLATIONS IRT</t>
  </si>
  <si>
    <t xml:space="preserve"> TRAVAUX DE TERRASSEMENT</t>
  </si>
  <si>
    <t xml:space="preserve"> TRAVAUX GENIE CIVIL -VRD- VOIES D'ACCES</t>
  </si>
  <si>
    <t xml:space="preserve"> TRAVAUX POSTES</t>
  </si>
  <si>
    <t xml:space="preserve"> FONÇAGES - FORAGES DIRIGÉS</t>
  </si>
  <si>
    <t xml:space="preserve"> TRAVAUX GÉNIE CIVIL LIGNES SOUTERRAINES ET DÉROULAGE</t>
  </si>
  <si>
    <t xml:space="preserve"> TRAVAUX LIAISON PROVISOIRE (CAB. SECS)</t>
  </si>
  <si>
    <t xml:space="preserve"> PETIT MATÉRIEL COURANT</t>
  </si>
  <si>
    <t xml:space="preserve"> APPAREILS DE MANUTENTION / LEVAGE</t>
  </si>
  <si>
    <t xml:space="preserve"> APPAREILS DE MESURE</t>
  </si>
  <si>
    <t xml:space="preserve"> CONSOMMABLES BUREAUTIQUE ET INFORMATIQUE</t>
  </si>
  <si>
    <t xml:space="preserve"> FOURNITURE DE CÂBLES NUS</t>
  </si>
  <si>
    <t xml:space="preserve"> FOURNITURE DE TOURETS</t>
  </si>
  <si>
    <t xml:space="preserve"> OUTILLAGE ISOLÉ HTBT / TST</t>
  </si>
  <si>
    <t xml:space="preserve"> MATÉRIELS DE LIGNES</t>
  </si>
  <si>
    <t xml:space="preserve"> FOURN, INSTAL DES SYSTÈMES DE PROTECTION DE POSTES</t>
  </si>
  <si>
    <t xml:space="preserve"> FOURNITURE DE MATÉRIELS DE CCN DES GRANDS POSTES</t>
  </si>
  <si>
    <t xml:space="preserve"> FOURNITURE DE MATÉRIELS DE CCN DES POSTES SOURCES</t>
  </si>
  <si>
    <t xml:space="preserve"> FOURNITURE DE MATÉRIELS DE COMPTAGE</t>
  </si>
  <si>
    <t xml:space="preserve"> FOURNITURE DE MATÉRIELS DE FILERIE</t>
  </si>
  <si>
    <t xml:space="preserve"> FOURNITURE DE MATÉRIELS DE PROTECTION ET D'AUTOMATISME</t>
  </si>
  <si>
    <t xml:space="preserve"> FOURNITURE DE MATÉRIELS DE QUALIMÉTRIE</t>
  </si>
  <si>
    <t xml:space="preserve"> FOURNITURE DE MATÉRIELS DE TÉLÉCONDUITE</t>
  </si>
  <si>
    <t xml:space="preserve"> FOURNITURE DE MOBILIER</t>
  </si>
  <si>
    <t xml:space="preserve"> FOURNITURE DE PIÈCES DÉTACHÉES DE PSEM</t>
  </si>
  <si>
    <t xml:space="preserve"> FOURNITURE DE PIÈCES DÉTACHÉES ET SOUS ENSEMBLES DE DISJ HTB</t>
  </si>
  <si>
    <t xml:space="preserve"> FOURNITURE DE PIÈCES DÉTACHÉES ET SOUS ENSEMBLES DE SECT HTB</t>
  </si>
  <si>
    <t xml:space="preserve"> FOURNITURE DE POSTES INTÉRIEURS MODULAIRES (PIM)</t>
  </si>
  <si>
    <t xml:space="preserve"> FOURNITURE DE POSTES SOUS ENVELOPPE MÉTALLIQUE HTB (PSEM)</t>
  </si>
  <si>
    <t xml:space="preserve"> FOURNITURE D'ÉQUIPEMENTS ET ACCESSOIRES DE TRANSFORMATEURS</t>
  </si>
  <si>
    <t xml:space="preserve"> FOURNITURE D'ÉQUIPEMENTS STATIONS CONVERSION COURANT CONTINU</t>
  </si>
  <si>
    <t xml:space="preserve"> FOURNITURES DE BUREAU</t>
  </si>
  <si>
    <t xml:space="preserve"> PIECES DETACHEES POUR MATL DE CCN</t>
  </si>
  <si>
    <t xml:space="preserve"> ANALYSES HUILES ET AUTRES LIQUIDES</t>
  </si>
  <si>
    <t xml:space="preserve"> ASSISTANCE MOA CONSTRUCT°/COORD SECURITE</t>
  </si>
  <si>
    <t xml:space="preserve"> DEMOLITION/EVACUATION OUVRAGE TRANSPORT</t>
  </si>
  <si>
    <t xml:space="preserve"> ENLEV/TRAIT DECHETS DANGEREUX AMIANT(DD)</t>
  </si>
  <si>
    <t xml:space="preserve"> ENLEV/TRAIT DECHETS DANGEREUX AUTRES(DD)</t>
  </si>
  <si>
    <t xml:space="preserve"> ENLEV/TRAIT DECHETS DANGEREUX PCB (DD)</t>
  </si>
  <si>
    <t xml:space="preserve"> ENLEV/TRAIT DECHETS DANGEREUX SF6 (DD)</t>
  </si>
  <si>
    <t xml:space="preserve"> ENLEV/TRAIT DECHETS NON DANGEREUX (DND)</t>
  </si>
  <si>
    <t xml:space="preserve"> GARDIENNAGE</t>
  </si>
  <si>
    <t xml:space="preserve"> PHOTOMONTAGE - SIMULATION 3D</t>
  </si>
  <si>
    <t xml:space="preserve"> PRESTATIONS DE DIAGNOSTICS SUR INSTALLATIONS ÉLECTRIQUES</t>
  </si>
  <si>
    <t xml:space="preserve"> SERVICES DE PRISE DE VUES AERIENNES</t>
  </si>
  <si>
    <t xml:space="preserve"> TRANSPORT LOURD</t>
  </si>
  <si>
    <t xml:space="preserve"> POSTES HT ET THT-MAINTENANCE DES MATÉRIELS DE COMPENSATION</t>
  </si>
  <si>
    <t xml:space="preserve"> MAINTENANCE DE MATÉRIELS D'ATELIERS D'ÉNERGIE</t>
  </si>
  <si>
    <t xml:space="preserve"> MAINTENANCE DE MATÉRIELS DE CCN</t>
  </si>
  <si>
    <t xml:space="preserve"> MAINTENANCE DE MATÉRIELS DE COMPTAGE</t>
  </si>
  <si>
    <t xml:space="preserve"> MAINTENANCE DE MATÉRIELS DE FILERIE</t>
  </si>
  <si>
    <t xml:space="preserve"> MAINTENANCE DE MATÉRIELS DE PROTECTION ET D'AUTOMATISME</t>
  </si>
  <si>
    <t xml:space="preserve"> MAINTENANCE DE MATÉRIELS DE QUALIMÉTRIE</t>
  </si>
  <si>
    <t xml:space="preserve"> MAINTENANCE DE MATÉRIELS DE TÉLÉCONDUITE</t>
  </si>
  <si>
    <t xml:space="preserve"> MAINTENANCE DE STATIONS DE CONVERSION</t>
  </si>
  <si>
    <t xml:space="preserve"> MAINTENANCE DES APPAREILLAGES HTB</t>
  </si>
  <si>
    <t xml:space="preserve"> MAINTENANCE DES INSTALLATIONS DE PROTECTION DES POSTES</t>
  </si>
  <si>
    <t xml:space="preserve"> MAINTENANCE DES TRANSFORMATEURS ET DES MATÉRIELS BOBINÉS</t>
  </si>
  <si>
    <t xml:space="preserve"> MAINTENANCE ET CONTRÔLE RÉGLEMENTAIRE OUTILLAGE</t>
  </si>
  <si>
    <t>[ X ]</t>
  </si>
  <si>
    <t>[     ]</t>
  </si>
  <si>
    <t>Choix</t>
  </si>
  <si>
    <t>Sélection</t>
  </si>
  <si>
    <t>Type</t>
  </si>
  <si>
    <t>Utiliser cette zone pour nous indiquer si cela concerne :
- une nouvelle cde, 
- un avenant à une cde, ou 
- si elle peut nous servir de modèle à une nouvelle cde</t>
  </si>
  <si>
    <r>
      <t xml:space="preserve">Grpe Marchandise/FTS: </t>
    </r>
    <r>
      <rPr>
        <sz val="9"/>
        <color indexed="63"/>
        <rFont val="Arial"/>
        <family val="2"/>
      </rPr>
      <t>cocher la case correspondante (ou choisir liste déroulante sur la version électronique)</t>
    </r>
  </si>
  <si>
    <t>Ce positionner sur l'une des lignes du Grpe Marchandises pour cocher grâce à la liste déroulante</t>
  </si>
  <si>
    <t>Double clic dans la cellule pour saisir ou coller</t>
  </si>
  <si>
    <t>Pour information : VOUS POUVEZ DOUBLE-CLIQUER DANS UNE CELLULE POUR SAISIR OU COLLER DU CONTENU</t>
  </si>
  <si>
    <t>Service:</t>
  </si>
  <si>
    <t>Chemin ECPR</t>
  </si>
  <si>
    <t>[    ]-Création/impression d'essai</t>
  </si>
  <si>
    <t>[    ]-Impression définitive</t>
  </si>
  <si>
    <t>[    ]-Circuit signature [ Envoi Paris ]</t>
  </si>
  <si>
    <t>Sans indication de cette zone, la livraison sera celle du Centre D&amp;I !</t>
  </si>
  <si>
    <t>Existe-il dans GCP</t>
  </si>
  <si>
    <t xml:space="preserve">Dde de création en cours </t>
  </si>
  <si>
    <t>SLAS</t>
  </si>
  <si>
    <t>SLS</t>
  </si>
  <si>
    <t>SLA</t>
  </si>
  <si>
    <t>SCC</t>
  </si>
  <si>
    <t>SP1</t>
  </si>
  <si>
    <t>SP2</t>
  </si>
  <si>
    <t>SCET</t>
  </si>
  <si>
    <t>SPC</t>
  </si>
  <si>
    <t>SED</t>
  </si>
  <si>
    <t>SIEGE</t>
  </si>
  <si>
    <t>ARSE</t>
  </si>
  <si>
    <t>Services</t>
  </si>
  <si>
    <t>DIR D&amp;I</t>
  </si>
  <si>
    <t>Montant Unitaire HT</t>
  </si>
  <si>
    <t>Montant Total Ligne HT</t>
  </si>
  <si>
    <t>Montant Total de la Commande HT :</t>
  </si>
  <si>
    <t>Signataire final prévu :</t>
  </si>
  <si>
    <t>Nom du Rédacteur / Interlocuteur :</t>
  </si>
  <si>
    <t xml:space="preserve">Nom du Responsable Projet : </t>
  </si>
  <si>
    <t>Nom du Responsable Projet :</t>
  </si>
  <si>
    <t>Nom du Responsable projet :</t>
  </si>
  <si>
    <t>OMEXOM poste</t>
  </si>
  <si>
    <t xml:space="preserve">Parc d’Activités de la Plaine  </t>
  </si>
  <si>
    <t>2 Rue Maryse Hilsz  31079 TOULOUSE</t>
  </si>
  <si>
    <t>B VELLERE</t>
  </si>
  <si>
    <t>Part Etude racco MCPO Gaudiere Debenas</t>
  </si>
  <si>
    <t>Part Travaux Racco Gaudiere Debenas</t>
  </si>
  <si>
    <t>Projet de racco Gaudiere Amarenco</t>
  </si>
  <si>
    <t>MCPO2 Debenas</t>
  </si>
  <si>
    <t>selon  CCTP E&amp;T Poste - Racc Gaudière ind4</t>
  </si>
  <si>
    <t>création des actifs RTE au poste de gaudiere racco Debenas</t>
  </si>
  <si>
    <t>\\ecpr.rte-france.com\ECPR\DI_Marseille\S23-261_GAUDIERE_225KV_Racc_ BATTERIE_PTF_AFR\5_Achats\5.3_Etudes_et_travaux\4_Commande - Avenant</t>
  </si>
  <si>
    <t>SI/TGAUDBAT/OPI1/SSIR/I1</t>
  </si>
  <si>
    <t>CXR21C5007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</si>
</sst>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0.00\ &quot;€&quot;_-;\-* #,##0.00\ &quot;€&quot;_-;_-* &quot;-&quot;??\ &quot;€&quot;_-;_-@_-"/>
    <numFmt numFmtId="166" formatCode="000"/>
  </numFmts>
  <fonts count="73" x14ac:knownFonts="1">
    <font>
      <sz val="11"/>
      <color theme="1"/>
      <name val="Calibri"/>
      <family val="2"/>
      <scheme val="minor"/>
    </font>
    <font>
      <b/>
      <sz val="14"/>
      <name val="Arial"/>
      <family val="2"/>
    </font>
    <font>
      <i/>
      <sz val="10"/>
      <color indexed="8"/>
      <name val="Calibri"/>
      <family val="2"/>
    </font>
    <font>
      <sz val="10"/>
      <color indexed="8"/>
      <name val="Calibri"/>
      <family val="2"/>
    </font>
    <font>
      <b/>
      <sz val="10"/>
      <color indexed="8"/>
      <name val="Calibri"/>
      <family val="2"/>
    </font>
    <font>
      <sz val="8"/>
      <name val="Arial"/>
      <family val="2"/>
    </font>
    <font>
      <u/>
      <sz val="10"/>
      <color indexed="8"/>
      <name val="Calibri"/>
      <family val="2"/>
    </font>
    <font>
      <b/>
      <sz val="9"/>
      <name val="Calibri"/>
      <family val="2"/>
    </font>
    <font>
      <b/>
      <sz val="8"/>
      <name val="Arial"/>
      <family val="2"/>
    </font>
    <font>
      <sz val="9"/>
      <color indexed="63"/>
      <name val="Arial"/>
      <family val="2"/>
    </font>
    <font>
      <b/>
      <sz val="10"/>
      <name val="Arial"/>
      <family val="2"/>
    </font>
    <font>
      <b/>
      <sz val="8"/>
      <color indexed="63"/>
      <name val="Calibri"/>
      <family val="2"/>
    </font>
    <font>
      <sz val="8"/>
      <color indexed="63"/>
      <name val="Calibri"/>
      <family val="2"/>
    </font>
    <font>
      <sz val="10"/>
      <name val="Arial"/>
      <family val="2"/>
    </font>
    <font>
      <b/>
      <sz val="9"/>
      <color indexed="8"/>
      <name val="Calibri"/>
      <family val="2"/>
    </font>
    <font>
      <sz val="9"/>
      <color indexed="8"/>
      <name val="Calibri"/>
      <family val="2"/>
    </font>
    <font>
      <b/>
      <sz val="9"/>
      <name val="Arial"/>
      <family val="2"/>
    </font>
    <font>
      <sz val="11"/>
      <color theme="1"/>
      <name val="Calibri"/>
      <family val="2"/>
      <scheme val="minor"/>
    </font>
    <font>
      <sz val="11"/>
      <color theme="0"/>
      <name val="Calibri"/>
      <family val="2"/>
      <scheme val="minor"/>
    </font>
    <font>
      <b/>
      <sz val="11"/>
      <color theme="1"/>
      <name val="Calibri"/>
      <family val="2"/>
      <scheme val="minor"/>
    </font>
    <font>
      <sz val="10"/>
      <color theme="1"/>
      <name val="Calibri"/>
      <family val="2"/>
      <scheme val="minor"/>
    </font>
    <font>
      <sz val="8"/>
      <color theme="1"/>
      <name val="Calibri"/>
      <family val="2"/>
      <scheme val="minor"/>
    </font>
    <font>
      <sz val="8"/>
      <color theme="0"/>
      <name val="Calibri"/>
      <family val="2"/>
      <scheme val="minor"/>
    </font>
    <font>
      <b/>
      <sz val="10"/>
      <color theme="1"/>
      <name val="Calibri"/>
      <family val="2"/>
      <scheme val="minor"/>
    </font>
    <font>
      <sz val="8"/>
      <name val="Calibri"/>
      <family val="2"/>
      <scheme val="minor"/>
    </font>
    <font>
      <sz val="11"/>
      <name val="Calibri"/>
      <family val="2"/>
      <scheme val="minor"/>
    </font>
    <font>
      <sz val="10"/>
      <name val="Calibri"/>
      <family val="2"/>
      <scheme val="minor"/>
    </font>
    <font>
      <b/>
      <sz val="9"/>
      <color theme="1"/>
      <name val="Calibri"/>
      <family val="2"/>
      <scheme val="minor"/>
    </font>
    <font>
      <sz val="8"/>
      <color rgb="FFFFC000"/>
      <name val="Calibri"/>
      <family val="2"/>
      <scheme val="minor"/>
    </font>
    <font>
      <b/>
      <sz val="11"/>
      <name val="Calibri"/>
      <family val="2"/>
      <scheme val="minor"/>
    </font>
    <font>
      <b/>
      <sz val="14"/>
      <color rgb="FF0000FF"/>
      <name val="Arial"/>
      <family val="2"/>
    </font>
    <font>
      <sz val="12"/>
      <color theme="1"/>
      <name val="Calibri"/>
      <family val="2"/>
      <scheme val="minor"/>
    </font>
    <font>
      <b/>
      <sz val="14"/>
      <color theme="1"/>
      <name val="Calibri"/>
      <family val="2"/>
      <scheme val="minor"/>
    </font>
    <font>
      <b/>
      <sz val="12"/>
      <color theme="1"/>
      <name val="Calibri"/>
      <family val="2"/>
      <scheme val="minor"/>
    </font>
    <font>
      <sz val="12"/>
      <color rgb="FF003365"/>
      <name val="Calibri"/>
      <family val="2"/>
      <scheme val="minor"/>
    </font>
    <font>
      <sz val="8"/>
      <color theme="0"/>
      <name val="Arial"/>
      <family val="2"/>
    </font>
    <font>
      <sz val="9"/>
      <color rgb="FF0000FF"/>
      <name val="Calibri"/>
      <family val="2"/>
      <scheme val="minor"/>
    </font>
    <font>
      <b/>
      <sz val="14"/>
      <name val="Calibri"/>
      <family val="2"/>
      <scheme val="minor"/>
    </font>
    <font>
      <b/>
      <i/>
      <sz val="9"/>
      <color theme="1"/>
      <name val="Arial"/>
      <family val="2"/>
    </font>
    <font>
      <sz val="9"/>
      <color theme="1"/>
      <name val="Calibri"/>
      <family val="2"/>
      <scheme val="minor"/>
    </font>
    <font>
      <sz val="10"/>
      <color rgb="FF333333"/>
      <name val="Arial"/>
      <family val="2"/>
    </font>
    <font>
      <b/>
      <sz val="10"/>
      <color rgb="FF0000FF"/>
      <name val="Arial"/>
      <family val="2"/>
    </font>
    <font>
      <sz val="10"/>
      <color rgb="FF0000FF"/>
      <name val="Arial"/>
      <family val="2"/>
    </font>
    <font>
      <b/>
      <sz val="10"/>
      <color rgb="FF333333"/>
      <name val="Arial"/>
      <family val="2"/>
    </font>
    <font>
      <sz val="11"/>
      <color rgb="FF0000FF"/>
      <name val="Calibri"/>
      <family val="2"/>
      <scheme val="minor"/>
    </font>
    <font>
      <b/>
      <sz val="20"/>
      <color rgb="FF333333"/>
      <name val="Arial"/>
      <family val="2"/>
    </font>
    <font>
      <i/>
      <sz val="9"/>
      <color theme="1"/>
      <name val="Calibri"/>
      <family val="2"/>
      <scheme val="minor"/>
    </font>
    <font>
      <i/>
      <sz val="10"/>
      <color theme="1"/>
      <name val="Calibri"/>
      <family val="2"/>
      <scheme val="minor"/>
    </font>
    <font>
      <b/>
      <sz val="8"/>
      <color theme="1"/>
      <name val="Calibri"/>
      <family val="2"/>
      <scheme val="minor"/>
    </font>
    <font>
      <sz val="9"/>
      <name val="Calibri"/>
      <family val="2"/>
      <scheme val="minor"/>
    </font>
    <font>
      <b/>
      <sz val="16"/>
      <name val="Calibri"/>
      <family val="2"/>
      <scheme val="minor"/>
    </font>
    <font>
      <sz val="8"/>
      <color rgb="FF333333"/>
      <name val="Calibri"/>
      <family val="2"/>
      <scheme val="minor"/>
    </font>
    <font>
      <sz val="10"/>
      <color theme="1"/>
      <name val="Arial"/>
      <family val="2"/>
    </font>
    <font>
      <sz val="14"/>
      <name val="Calibri"/>
      <family val="2"/>
      <scheme val="minor"/>
    </font>
    <font>
      <sz val="14"/>
      <color theme="1"/>
      <name val="Calibri"/>
      <family val="2"/>
      <scheme val="minor"/>
    </font>
    <font>
      <i/>
      <sz val="10"/>
      <color rgb="FF333333"/>
      <name val="Arial"/>
      <family val="2"/>
    </font>
    <font>
      <sz val="14"/>
      <color rgb="FF0000FF"/>
      <name val="Calibri"/>
      <family val="2"/>
      <scheme val="minor"/>
    </font>
    <font>
      <i/>
      <sz val="8"/>
      <color theme="1"/>
      <name val="Calibri"/>
      <family val="2"/>
      <scheme val="minor"/>
    </font>
    <font>
      <sz val="8"/>
      <color rgb="FF333333"/>
      <name val="Arial"/>
      <family val="2"/>
    </font>
    <font>
      <b/>
      <sz val="9"/>
      <color rgb="FF333333"/>
      <name val="Arial"/>
      <family val="2"/>
    </font>
    <font>
      <sz val="12"/>
      <name val="Calibri"/>
      <family val="2"/>
      <scheme val="minor"/>
    </font>
    <font>
      <sz val="14"/>
      <color rgb="FFFF0000"/>
      <name val="Calibri"/>
      <family val="2"/>
      <scheme val="minor"/>
    </font>
    <font>
      <b/>
      <sz val="9"/>
      <name val="Calibri"/>
      <family val="2"/>
      <scheme val="minor"/>
    </font>
    <font>
      <b/>
      <sz val="20"/>
      <color rgb="FFFF0000"/>
      <name val="Calibri"/>
      <family val="2"/>
      <scheme val="minor"/>
    </font>
    <font>
      <b/>
      <sz val="20"/>
      <name val="Calibri"/>
      <family val="2"/>
      <scheme val="minor"/>
    </font>
    <font>
      <sz val="20"/>
      <color theme="1"/>
      <name val="Calibri"/>
      <family val="2"/>
      <scheme val="minor"/>
    </font>
    <font>
      <b/>
      <i/>
      <sz val="20"/>
      <color rgb="FFFF0000"/>
      <name val="Calibri"/>
      <family val="2"/>
      <scheme val="minor"/>
    </font>
    <font>
      <sz val="10"/>
      <color theme="0"/>
      <name val="Calibri"/>
      <family val="2"/>
      <scheme val="minor"/>
    </font>
    <font>
      <sz val="9"/>
      <color rgb="FF333333"/>
      <name val="Arial"/>
      <family val="2"/>
    </font>
    <font>
      <sz val="14"/>
      <color rgb="FF333333"/>
      <name val="Calibri"/>
      <family val="2"/>
      <scheme val="minor"/>
    </font>
    <font>
      <b/>
      <i/>
      <sz val="12"/>
      <color theme="1"/>
      <name val="Calibri"/>
      <family val="2"/>
      <scheme val="minor"/>
    </font>
    <font>
      <i/>
      <sz val="12"/>
      <color theme="1"/>
      <name val="Calibri"/>
      <family val="2"/>
      <scheme val="minor"/>
    </font>
    <font>
      <i/>
      <sz val="18"/>
      <color theme="1"/>
      <name val="Calibri"/>
      <family val="2"/>
      <scheme val="minor"/>
    </font>
  </fonts>
  <fills count="46">
    <fill>
      <patternFill patternType="none"/>
    </fill>
    <fill>
      <patternFill patternType="gray125"/>
    </fill>
    <fill>
      <patternFill patternType="lightUp"/>
    </fill>
    <fill>
      <patternFill patternType="solid">
        <fgColor indexed="65"/>
        <bgColor indexed="64"/>
      </patternFill>
    </fill>
    <fill>
      <patternFill patternType="solid">
        <fgColor theme="0" tint="-0.34998626667073579"/>
        <bgColor indexed="64"/>
      </patternFill>
    </fill>
    <fill>
      <patternFill patternType="solid">
        <fgColor rgb="FF7030A0"/>
        <bgColor indexed="64"/>
      </patternFill>
    </fill>
    <fill>
      <patternFill patternType="solid">
        <fgColor rgb="FF002060"/>
        <bgColor indexed="64"/>
      </patternFill>
    </fill>
    <fill>
      <patternFill patternType="solid">
        <fgColor rgb="FF0070C0"/>
        <bgColor indexed="64"/>
      </patternFill>
    </fill>
    <fill>
      <patternFill patternType="solid">
        <fgColor rgb="FF00B0F0"/>
        <bgColor indexed="64"/>
      </patternFill>
    </fill>
    <fill>
      <patternFill patternType="solid">
        <fgColor rgb="FF00B050"/>
        <bgColor indexed="64"/>
      </patternFill>
    </fill>
    <fill>
      <patternFill patternType="solid">
        <fgColor rgb="FF92D050"/>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rgb="FFFFFF00"/>
        <bgColor indexed="64"/>
      </patternFill>
    </fill>
    <fill>
      <patternFill patternType="solid">
        <fgColor theme="1"/>
        <bgColor indexed="64"/>
      </patternFill>
    </fill>
    <fill>
      <patternFill patternType="solid">
        <fgColor theme="0" tint="-0.499984740745262"/>
        <bgColor indexed="64"/>
      </patternFill>
    </fill>
    <fill>
      <patternFill patternType="lightUp">
        <bgColor theme="0" tint="-0.499984740745262"/>
      </patternFill>
    </fill>
    <fill>
      <patternFill patternType="solid">
        <fgColor theme="8" tint="0.59999389629810485"/>
        <bgColor indexed="64"/>
      </patternFill>
    </fill>
    <fill>
      <patternFill patternType="lightUp">
        <bgColor theme="0" tint="-0.14999847407452621"/>
      </patternFill>
    </fill>
    <fill>
      <patternFill patternType="solid">
        <fgColor theme="0" tint="-0.14999847407452621"/>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rgb="FFFFC000"/>
        <bgColor indexed="64"/>
      </patternFill>
    </fill>
    <fill>
      <patternFill patternType="solid">
        <fgColor theme="7" tint="0.59999389629810485"/>
        <bgColor indexed="64"/>
      </patternFill>
    </fill>
    <fill>
      <patternFill patternType="solid">
        <fgColor theme="6"/>
        <bgColor indexed="64"/>
      </patternFill>
    </fill>
    <fill>
      <patternFill patternType="solid">
        <fgColor rgb="FFC00000"/>
        <bgColor indexed="64"/>
      </patternFill>
    </fill>
    <fill>
      <patternFill patternType="solid">
        <fgColor rgb="FF00B0F0"/>
        <bgColor theme="0" tint="-0.14999847407452621"/>
      </patternFill>
    </fill>
    <fill>
      <patternFill patternType="solid">
        <fgColor theme="7" tint="0.39997558519241921"/>
        <bgColor theme="0" tint="-0.14999847407452621"/>
      </patternFill>
    </fill>
    <fill>
      <patternFill patternType="solid">
        <fgColor theme="9" tint="-0.249977111117893"/>
        <bgColor theme="0" tint="-0.14999847407452621"/>
      </patternFill>
    </fill>
    <fill>
      <patternFill patternType="solid">
        <fgColor theme="4"/>
        <bgColor theme="0" tint="-0.14999847407452621"/>
      </patternFill>
    </fill>
    <fill>
      <patternFill patternType="solid">
        <fgColor theme="6" tint="-0.249977111117893"/>
        <bgColor indexed="64"/>
      </patternFill>
    </fill>
    <fill>
      <patternFill patternType="solid">
        <fgColor rgb="FFFF0000"/>
        <bgColor indexed="64"/>
      </patternFill>
    </fill>
    <fill>
      <patternFill patternType="solid">
        <fgColor rgb="FF7030A0"/>
        <bgColor theme="0" tint="-0.14999847407452621"/>
      </patternFill>
    </fill>
    <fill>
      <patternFill patternType="solid">
        <fgColor theme="6" tint="-0.499984740745262"/>
        <bgColor theme="4" tint="0.79998168889431442"/>
      </patternFill>
    </fill>
    <fill>
      <patternFill patternType="solid">
        <fgColor theme="5" tint="0.39997558519241921"/>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6795556505021"/>
        <bgColor indexed="64"/>
      </patternFill>
    </fill>
    <fill>
      <patternFill patternType="solid">
        <fgColor theme="6" tint="0.79998168889431442"/>
        <bgColor indexed="64"/>
      </patternFill>
    </fill>
    <fill>
      <patternFill patternType="solid">
        <fgColor rgb="FFE5E5E5"/>
        <bgColor indexed="64"/>
      </patternFill>
    </fill>
    <fill>
      <patternFill patternType="solid">
        <fgColor theme="0" tint="-4.9989318521683403E-2"/>
        <bgColor indexed="64"/>
      </patternFill>
    </fill>
    <fill>
      <patternFill patternType="solid">
        <fgColor theme="2"/>
        <bgColor indexed="64"/>
      </patternFill>
    </fill>
    <fill>
      <patternFill patternType="solid">
        <fgColor theme="4"/>
        <bgColor indexed="64"/>
      </patternFill>
    </fill>
  </fills>
  <borders count="91">
    <border>
      <left/>
      <right/>
      <top/>
      <bottom/>
      <diagonal/>
    </border>
    <border>
      <left style="thin">
        <color indexed="64"/>
      </left>
      <right/>
      <top style="thin">
        <color indexed="64"/>
      </top>
      <bottom style="dashed">
        <color indexed="64"/>
      </bottom>
      <diagonal/>
    </border>
    <border>
      <left/>
      <right/>
      <top style="thin">
        <color indexed="64"/>
      </top>
      <bottom style="dashed">
        <color indexed="64"/>
      </bottom>
      <diagonal/>
    </border>
    <border>
      <left/>
      <right style="thin">
        <color indexed="64"/>
      </right>
      <top style="thin">
        <color indexed="64"/>
      </top>
      <bottom style="dashed">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dotted">
        <color indexed="64"/>
      </top>
      <bottom style="medium">
        <color indexed="64"/>
      </bottom>
      <diagonal/>
    </border>
    <border>
      <left/>
      <right/>
      <top style="dotted">
        <color indexed="64"/>
      </top>
      <bottom style="medium">
        <color indexed="64"/>
      </bottom>
      <diagonal/>
    </border>
    <border>
      <left/>
      <right style="medium">
        <color indexed="64"/>
      </right>
      <top style="dotted">
        <color indexed="64"/>
      </top>
      <bottom style="medium">
        <color indexed="64"/>
      </bottom>
      <diagonal/>
    </border>
    <border>
      <left style="medium">
        <color indexed="64"/>
      </left>
      <right/>
      <top/>
      <bottom/>
      <diagonal/>
    </border>
    <border>
      <left/>
      <right style="medium">
        <color indexed="64"/>
      </right>
      <top style="thin">
        <color indexed="64"/>
      </top>
      <bottom style="thin">
        <color indexed="64"/>
      </bottom>
      <diagonal/>
    </border>
    <border>
      <left/>
      <right style="medium">
        <color indexed="64"/>
      </right>
      <top/>
      <bottom style="medium">
        <color indexed="64"/>
      </bottom>
      <diagonal/>
    </border>
    <border>
      <left style="double">
        <color indexed="64"/>
      </left>
      <right/>
      <top style="double">
        <color indexed="64"/>
      </top>
      <bottom/>
      <diagonal/>
    </border>
    <border>
      <left/>
      <right/>
      <top style="double">
        <color indexed="64"/>
      </top>
      <bottom/>
      <diagonal/>
    </border>
    <border>
      <left style="double">
        <color indexed="64"/>
      </left>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right style="double">
        <color indexed="64"/>
      </right>
      <top/>
      <bottom/>
      <diagonal/>
    </border>
    <border>
      <left/>
      <right style="double">
        <color indexed="64"/>
      </right>
      <top/>
      <bottom style="medium">
        <color indexed="64"/>
      </bottom>
      <diagonal/>
    </border>
    <border>
      <left style="medium">
        <color indexed="64"/>
      </left>
      <right style="medium">
        <color indexed="64"/>
      </right>
      <top style="thin">
        <color indexed="64"/>
      </top>
      <bottom/>
      <diagonal/>
    </border>
    <border>
      <left/>
      <right/>
      <top style="medium">
        <color indexed="64"/>
      </top>
      <bottom style="medium">
        <color indexed="64"/>
      </bottom>
      <diagonal/>
    </border>
    <border>
      <left/>
      <right style="medium">
        <color indexed="64"/>
      </right>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hair">
        <color indexed="64"/>
      </left>
      <right/>
      <top style="medium">
        <color indexed="64"/>
      </top>
      <bottom/>
      <diagonal/>
    </border>
    <border>
      <left style="hair">
        <color indexed="64"/>
      </left>
      <right/>
      <top/>
      <bottom/>
      <diagonal/>
    </border>
    <border>
      <left style="hair">
        <color indexed="64"/>
      </left>
      <right/>
      <top/>
      <bottom style="medium">
        <color indexed="64"/>
      </bottom>
      <diagonal/>
    </border>
    <border>
      <left style="thin">
        <color indexed="64"/>
      </left>
      <right style="thin">
        <color indexed="64"/>
      </right>
      <top style="thin">
        <color indexed="64"/>
      </top>
      <bottom/>
      <diagonal/>
    </border>
    <border>
      <left style="medium">
        <color indexed="64"/>
      </left>
      <right/>
      <top/>
      <bottom style="dotted">
        <color indexed="64"/>
      </bottom>
      <diagonal/>
    </border>
    <border>
      <left/>
      <right/>
      <top/>
      <bottom style="dotted">
        <color indexed="64"/>
      </bottom>
      <diagonal/>
    </border>
    <border>
      <left/>
      <right style="medium">
        <color indexed="64"/>
      </right>
      <top/>
      <bottom style="dotted">
        <color indexed="64"/>
      </bottom>
      <diagonal/>
    </border>
    <border>
      <left style="medium">
        <color indexed="64"/>
      </left>
      <right/>
      <top style="dotted">
        <color indexed="64"/>
      </top>
      <bottom/>
      <diagonal/>
    </border>
    <border>
      <left/>
      <right/>
      <top style="dotted">
        <color indexed="64"/>
      </top>
      <bottom/>
      <diagonal/>
    </border>
    <border>
      <left/>
      <right style="medium">
        <color indexed="64"/>
      </right>
      <top style="dotted">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medium">
        <color indexed="64"/>
      </top>
      <bottom/>
      <diagonal/>
    </border>
    <border>
      <left style="medium">
        <color indexed="64"/>
      </left>
      <right/>
      <top style="thin">
        <color indexed="64"/>
      </top>
      <bottom/>
      <diagonal/>
    </border>
    <border>
      <left/>
      <right style="thin">
        <color indexed="64"/>
      </right>
      <top/>
      <bottom style="medium">
        <color indexed="64"/>
      </bottom>
      <diagonal/>
    </border>
    <border>
      <left/>
      <right style="thin">
        <color indexed="64"/>
      </right>
      <top style="medium">
        <color indexed="64"/>
      </top>
      <bottom/>
      <diagonal/>
    </border>
    <border>
      <left style="medium">
        <color indexed="64"/>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medium">
        <color indexed="64"/>
      </bottom>
      <diagonal/>
    </border>
    <border>
      <left style="dotted">
        <color indexed="64"/>
      </left>
      <right/>
      <top style="medium">
        <color indexed="64"/>
      </top>
      <bottom/>
      <diagonal/>
    </border>
    <border>
      <left style="dotted">
        <color indexed="64"/>
      </left>
      <right/>
      <top/>
      <bottom style="medium">
        <color indexed="64"/>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hair">
        <color indexed="64"/>
      </right>
      <top style="medium">
        <color indexed="64"/>
      </top>
      <bottom/>
      <diagonal/>
    </border>
    <border>
      <left/>
      <right style="hair">
        <color indexed="64"/>
      </right>
      <top/>
      <bottom/>
      <diagonal/>
    </border>
    <border>
      <left/>
      <right style="hair">
        <color indexed="64"/>
      </right>
      <top/>
      <bottom style="medium">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5">
    <xf numFmtId="0" fontId="0" fillId="0" borderId="0"/>
    <xf numFmtId="44" fontId="17" fillId="0" borderId="0" applyFont="0" applyFill="0" applyBorder="0" applyAlignment="0" applyProtection="0"/>
    <xf numFmtId="0" fontId="13" fillId="0" borderId="0"/>
    <xf numFmtId="0" fontId="13" fillId="0" borderId="0"/>
    <xf numFmtId="0" fontId="13" fillId="0" borderId="0"/>
  </cellStyleXfs>
  <cellXfs count="685">
    <xf numFmtId="0" fontId="0" fillId="0" borderId="0" xfId="0"/>
    <xf numFmtId="0" fontId="0" fillId="4" borderId="1" xfId="0" applyFill="1" applyBorder="1" applyProtection="1"/>
    <xf numFmtId="0" fontId="0" fillId="4" borderId="2" xfId="0" applyFill="1" applyBorder="1" applyAlignment="1" applyProtection="1">
      <alignment horizontal="left" vertical="center"/>
    </xf>
    <xf numFmtId="0" fontId="0" fillId="4" borderId="2" xfId="0" applyFill="1" applyBorder="1" applyProtection="1"/>
    <xf numFmtId="0" fontId="0" fillId="4" borderId="3" xfId="0" applyFill="1" applyBorder="1" applyProtection="1"/>
    <xf numFmtId="0" fontId="0" fillId="0" borderId="0" xfId="0" applyFill="1" applyBorder="1" applyProtection="1"/>
    <xf numFmtId="0" fontId="0" fillId="0" borderId="0" xfId="0" applyProtection="1"/>
    <xf numFmtId="0" fontId="20" fillId="0" borderId="0" xfId="0" applyFont="1" applyProtection="1"/>
    <xf numFmtId="0" fontId="0" fillId="0" borderId="0" xfId="0" applyAlignment="1" applyProtection="1">
      <alignment horizontal="left"/>
    </xf>
    <xf numFmtId="0" fontId="21" fillId="0" borderId="0" xfId="0" applyFont="1" applyFill="1" applyBorder="1" applyAlignment="1" applyProtection="1">
      <alignment horizontal="left"/>
    </xf>
    <xf numFmtId="0" fontId="0" fillId="0" borderId="0" xfId="0" applyFill="1" applyBorder="1" applyAlignment="1" applyProtection="1">
      <alignment horizontal="left" vertical="center"/>
    </xf>
    <xf numFmtId="0" fontId="0" fillId="0" borderId="0" xfId="0" applyAlignment="1" applyProtection="1">
      <alignment horizontal="center" vertical="center"/>
    </xf>
    <xf numFmtId="0" fontId="0" fillId="0" borderId="0" xfId="0" applyAlignment="1" applyProtection="1">
      <alignment horizontal="right"/>
    </xf>
    <xf numFmtId="0" fontId="0" fillId="0" borderId="0" xfId="0" applyFill="1" applyAlignment="1" applyProtection="1">
      <alignment horizontal="right"/>
    </xf>
    <xf numFmtId="0" fontId="21" fillId="0" borderId="0" xfId="0" applyFont="1" applyProtection="1"/>
    <xf numFmtId="0" fontId="22" fillId="5" borderId="4" xfId="0" applyFont="1" applyFill="1" applyBorder="1" applyAlignment="1" applyProtection="1">
      <alignment horizontal="left" vertical="center"/>
    </xf>
    <xf numFmtId="0" fontId="22" fillId="6" borderId="4" xfId="0" applyFont="1" applyFill="1" applyBorder="1" applyAlignment="1" applyProtection="1">
      <alignment horizontal="left" vertical="center"/>
    </xf>
    <xf numFmtId="0" fontId="22" fillId="7" borderId="4" xfId="0" applyFont="1" applyFill="1" applyBorder="1" applyAlignment="1" applyProtection="1">
      <alignment horizontal="left" vertical="center"/>
    </xf>
    <xf numFmtId="0" fontId="21" fillId="0" borderId="0" xfId="0" applyFont="1" applyFill="1" applyBorder="1" applyProtection="1"/>
    <xf numFmtId="0" fontId="21" fillId="0" borderId="0" xfId="0" applyFont="1" applyFill="1" applyBorder="1" applyAlignment="1" applyProtection="1">
      <alignment horizontal="left" vertical="center"/>
    </xf>
    <xf numFmtId="0" fontId="21" fillId="8" borderId="4" xfId="0" applyFont="1" applyFill="1" applyBorder="1" applyAlignment="1" applyProtection="1">
      <alignment horizontal="center" vertical="center"/>
    </xf>
    <xf numFmtId="0" fontId="21" fillId="9" borderId="4" xfId="0" applyFont="1" applyFill="1" applyBorder="1" applyAlignment="1" applyProtection="1">
      <alignment horizontal="center" vertical="center"/>
    </xf>
    <xf numFmtId="0" fontId="21" fillId="10" borderId="5" xfId="0" applyFont="1" applyFill="1" applyBorder="1" applyAlignment="1" applyProtection="1">
      <alignment horizontal="left" vertical="center"/>
    </xf>
    <xf numFmtId="0" fontId="23" fillId="0" borderId="0" xfId="0" applyFont="1" applyAlignment="1" applyProtection="1">
      <alignment horizontal="center" vertical="center"/>
    </xf>
    <xf numFmtId="0" fontId="23" fillId="0" borderId="0" xfId="0" applyFont="1" applyFill="1" applyBorder="1" applyAlignment="1" applyProtection="1">
      <alignment horizontal="center"/>
    </xf>
    <xf numFmtId="0" fontId="23" fillId="0" borderId="0" xfId="0" applyFont="1" applyAlignment="1" applyProtection="1">
      <alignment horizontal="center"/>
    </xf>
    <xf numFmtId="0" fontId="23" fillId="0" borderId="0" xfId="0" applyFont="1" applyFill="1" applyBorder="1" applyAlignment="1" applyProtection="1">
      <alignment horizontal="center" vertical="center"/>
    </xf>
    <xf numFmtId="0" fontId="21" fillId="0" borderId="4" xfId="0" applyFont="1" applyBorder="1" applyAlignment="1" applyProtection="1">
      <alignment horizontal="left"/>
    </xf>
    <xf numFmtId="0" fontId="21" fillId="11" borderId="4" xfId="0" applyFont="1" applyFill="1" applyBorder="1" applyAlignment="1" applyProtection="1">
      <alignment horizontal="left" vertical="center"/>
    </xf>
    <xf numFmtId="0" fontId="21" fillId="12" borderId="4" xfId="0" applyFont="1" applyFill="1" applyBorder="1" applyProtection="1"/>
    <xf numFmtId="0" fontId="21" fillId="10" borderId="4" xfId="0" applyFont="1" applyFill="1" applyBorder="1" applyProtection="1"/>
    <xf numFmtId="0" fontId="21" fillId="13" borderId="4" xfId="0" applyFont="1" applyFill="1" applyBorder="1" applyAlignment="1" applyProtection="1">
      <alignment horizontal="left"/>
    </xf>
    <xf numFmtId="0" fontId="21" fillId="14" borderId="4" xfId="0" applyFont="1" applyFill="1" applyBorder="1" applyAlignment="1" applyProtection="1">
      <alignment horizontal="left" vertical="center"/>
    </xf>
    <xf numFmtId="0" fontId="21" fillId="15" borderId="4" xfId="0" applyFont="1" applyFill="1" applyBorder="1" applyAlignment="1" applyProtection="1">
      <alignment horizontal="left" vertical="center"/>
    </xf>
    <xf numFmtId="0" fontId="21" fillId="0" borderId="4" xfId="0" applyFont="1" applyFill="1" applyBorder="1" applyAlignment="1" applyProtection="1">
      <alignment horizontal="left" vertical="center"/>
    </xf>
    <xf numFmtId="0" fontId="21" fillId="0" borderId="4" xfId="0" applyFont="1" applyFill="1" applyBorder="1" applyProtection="1"/>
    <xf numFmtId="0" fontId="21" fillId="0" borderId="4" xfId="0" applyFont="1" applyFill="1" applyBorder="1" applyAlignment="1" applyProtection="1">
      <alignment horizontal="left"/>
    </xf>
    <xf numFmtId="0" fontId="24" fillId="0" borderId="0" xfId="0" applyFont="1" applyFill="1" applyBorder="1" applyAlignment="1" applyProtection="1">
      <alignment horizontal="left"/>
    </xf>
    <xf numFmtId="0" fontId="24" fillId="0" borderId="0" xfId="0" applyFont="1" applyProtection="1"/>
    <xf numFmtId="0" fontId="25" fillId="0" borderId="0" xfId="0" applyFont="1" applyFill="1" applyBorder="1" applyProtection="1"/>
    <xf numFmtId="0" fontId="25" fillId="0" borderId="0" xfId="0" applyFont="1" applyFill="1" applyBorder="1" applyAlignment="1" applyProtection="1">
      <alignment horizontal="left" vertical="center"/>
    </xf>
    <xf numFmtId="0" fontId="25" fillId="0" borderId="0" xfId="0" applyFont="1" applyProtection="1"/>
    <xf numFmtId="0" fontId="26" fillId="0" borderId="0" xfId="0" applyFont="1" applyProtection="1"/>
    <xf numFmtId="0" fontId="25" fillId="0" borderId="0" xfId="0" applyFont="1" applyAlignment="1" applyProtection="1">
      <alignment horizontal="left"/>
    </xf>
    <xf numFmtId="0" fontId="0" fillId="0" borderId="6" xfId="0" applyBorder="1" applyProtection="1"/>
    <xf numFmtId="0" fontId="0" fillId="16" borderId="7" xfId="0" applyFill="1" applyBorder="1" applyAlignment="1" applyProtection="1">
      <alignment horizontal="center"/>
    </xf>
    <xf numFmtId="0" fontId="20" fillId="0" borderId="8" xfId="0" applyFont="1" applyBorder="1" applyAlignment="1" applyProtection="1"/>
    <xf numFmtId="0" fontId="0" fillId="0" borderId="0" xfId="0" applyFill="1" applyBorder="1" applyAlignment="1" applyProtection="1">
      <alignment horizontal="left"/>
    </xf>
    <xf numFmtId="0" fontId="0" fillId="0" borderId="0" xfId="0" applyBorder="1" applyProtection="1"/>
    <xf numFmtId="0" fontId="0" fillId="0" borderId="0" xfId="0" applyFill="1" applyProtection="1"/>
    <xf numFmtId="9" fontId="0" fillId="0" borderId="9" xfId="0" applyNumberFormat="1" applyBorder="1" applyAlignment="1" applyProtection="1">
      <alignment horizontal="center"/>
    </xf>
    <xf numFmtId="9" fontId="0" fillId="0" borderId="10" xfId="0" applyNumberFormat="1" applyBorder="1" applyAlignment="1" applyProtection="1">
      <alignment horizontal="center"/>
    </xf>
    <xf numFmtId="0" fontId="0" fillId="0" borderId="11" xfId="0" applyBorder="1" applyProtection="1"/>
    <xf numFmtId="0" fontId="0" fillId="0" borderId="4" xfId="0" applyFill="1" applyBorder="1" applyAlignment="1" applyProtection="1">
      <alignment horizontal="left" vertical="center"/>
    </xf>
    <xf numFmtId="0" fontId="0" fillId="0" borderId="11" xfId="0" applyFill="1" applyBorder="1" applyProtection="1"/>
    <xf numFmtId="14" fontId="0" fillId="0" borderId="0" xfId="0" applyNumberFormat="1" applyFill="1" applyBorder="1" applyAlignment="1" applyProtection="1">
      <alignment horizontal="left"/>
    </xf>
    <xf numFmtId="0" fontId="0" fillId="0" borderId="10" xfId="0" applyBorder="1" applyProtection="1"/>
    <xf numFmtId="0" fontId="0" fillId="0" borderId="10" xfId="0" applyFill="1" applyBorder="1" applyProtection="1"/>
    <xf numFmtId="0" fontId="0" fillId="0" borderId="12" xfId="0" applyFill="1" applyBorder="1" applyAlignment="1" applyProtection="1">
      <alignment horizontal="left" vertical="center"/>
    </xf>
    <xf numFmtId="9" fontId="0" fillId="0" borderId="13" xfId="0" applyNumberFormat="1" applyBorder="1" applyAlignment="1" applyProtection="1">
      <alignment horizontal="center"/>
    </xf>
    <xf numFmtId="0" fontId="19" fillId="0" borderId="4" xfId="0" applyFont="1" applyFill="1" applyBorder="1" applyAlignment="1" applyProtection="1">
      <alignment horizontal="left" vertical="center"/>
    </xf>
    <xf numFmtId="0" fontId="27" fillId="0" borderId="0" xfId="0" applyFont="1" applyBorder="1" applyAlignment="1" applyProtection="1">
      <alignment wrapText="1"/>
    </xf>
    <xf numFmtId="0" fontId="0" fillId="0" borderId="14" xfId="0" applyBorder="1" applyProtection="1"/>
    <xf numFmtId="0" fontId="0" fillId="0" borderId="4" xfId="0" applyBorder="1" applyAlignment="1" applyProtection="1">
      <alignment horizontal="left" vertical="center"/>
    </xf>
    <xf numFmtId="0" fontId="0" fillId="0" borderId="0" xfId="0" applyBorder="1" applyAlignment="1" applyProtection="1">
      <alignment horizontal="left" vertical="center"/>
    </xf>
    <xf numFmtId="0" fontId="28" fillId="17" borderId="0" xfId="0" applyFont="1" applyFill="1" applyBorder="1" applyAlignment="1" applyProtection="1"/>
    <xf numFmtId="0" fontId="0" fillId="18" borderId="0" xfId="0" applyFill="1" applyBorder="1" applyProtection="1"/>
    <xf numFmtId="0" fontId="0" fillId="18" borderId="0" xfId="0" applyFill="1" applyBorder="1" applyAlignment="1" applyProtection="1">
      <alignment horizontal="left" vertical="center"/>
    </xf>
    <xf numFmtId="0" fontId="0" fillId="2" borderId="0" xfId="0" applyFill="1" applyProtection="1"/>
    <xf numFmtId="0" fontId="29" fillId="19" borderId="0" xfId="0" applyFont="1" applyFill="1" applyAlignment="1" applyProtection="1">
      <alignment vertical="center"/>
    </xf>
    <xf numFmtId="0" fontId="0" fillId="2" borderId="0" xfId="0" applyFill="1" applyAlignment="1" applyProtection="1">
      <alignment horizontal="center" vertical="center"/>
    </xf>
    <xf numFmtId="0" fontId="0" fillId="0" borderId="15" xfId="0" applyBorder="1" applyProtection="1"/>
    <xf numFmtId="0" fontId="0" fillId="0" borderId="16" xfId="0" applyBorder="1" applyProtection="1"/>
    <xf numFmtId="0" fontId="30" fillId="0" borderId="17" xfId="0" applyFont="1" applyBorder="1" applyAlignment="1" applyProtection="1">
      <alignment vertical="center" wrapText="1"/>
    </xf>
    <xf numFmtId="0" fontId="20" fillId="2" borderId="0" xfId="0" applyFont="1" applyFill="1" applyBorder="1" applyAlignment="1" applyProtection="1">
      <alignment horizontal="center" vertical="center"/>
    </xf>
    <xf numFmtId="0" fontId="30" fillId="0" borderId="18" xfId="0" applyFont="1" applyBorder="1" applyAlignment="1" applyProtection="1">
      <alignment vertical="center" wrapText="1"/>
    </xf>
    <xf numFmtId="0" fontId="31" fillId="0" borderId="0" xfId="0" applyFont="1" applyProtection="1"/>
    <xf numFmtId="0" fontId="32" fillId="2" borderId="0" xfId="0" applyFont="1" applyFill="1" applyBorder="1" applyAlignment="1" applyProtection="1">
      <alignment horizontal="center" vertical="center" wrapText="1"/>
    </xf>
    <xf numFmtId="0" fontId="31" fillId="2" borderId="0" xfId="0" applyFont="1" applyFill="1" applyProtection="1"/>
    <xf numFmtId="0" fontId="33" fillId="2" borderId="0" xfId="0" applyFont="1" applyFill="1" applyBorder="1" applyAlignment="1" applyProtection="1">
      <alignment horizontal="center" vertical="center" wrapText="1"/>
    </xf>
    <xf numFmtId="0" fontId="31" fillId="17" borderId="0" xfId="0" applyFont="1" applyFill="1" applyProtection="1"/>
    <xf numFmtId="0" fontId="23" fillId="0" borderId="0" xfId="0" applyFont="1" applyProtection="1"/>
    <xf numFmtId="0" fontId="34" fillId="2" borderId="0" xfId="0" applyFont="1" applyFill="1" applyBorder="1" applyAlignment="1" applyProtection="1">
      <alignment horizontal="center" vertical="center" wrapText="1"/>
    </xf>
    <xf numFmtId="0" fontId="31" fillId="0" borderId="15" xfId="0" applyFont="1" applyBorder="1" applyProtection="1"/>
    <xf numFmtId="0" fontId="31" fillId="0" borderId="0" xfId="0" applyFont="1" applyBorder="1" applyProtection="1"/>
    <xf numFmtId="0" fontId="20" fillId="0" borderId="0" xfId="0" applyFont="1" applyAlignment="1" applyProtection="1">
      <alignment vertical="top" wrapText="1"/>
    </xf>
    <xf numFmtId="166" fontId="35" fillId="2" borderId="0" xfId="0" applyNumberFormat="1" applyFont="1" applyFill="1" applyBorder="1" applyAlignment="1" applyProtection="1">
      <alignment horizontal="center" vertical="center" wrapText="1"/>
    </xf>
    <xf numFmtId="44" fontId="36" fillId="2" borderId="0" xfId="1" applyFont="1" applyFill="1" applyBorder="1" applyAlignment="1" applyProtection="1">
      <alignment horizontal="center" vertical="center" wrapText="1"/>
    </xf>
    <xf numFmtId="0" fontId="0" fillId="17" borderId="0" xfId="0" applyFill="1" applyProtection="1"/>
    <xf numFmtId="44" fontId="37" fillId="2" borderId="0" xfId="1" applyFont="1" applyFill="1" applyBorder="1" applyAlignment="1" applyProtection="1">
      <alignment horizontal="center" vertical="center" wrapText="1"/>
    </xf>
    <xf numFmtId="166" fontId="5" fillId="2" borderId="0" xfId="0" applyNumberFormat="1" applyFont="1" applyFill="1" applyBorder="1" applyAlignment="1" applyProtection="1">
      <alignment horizontal="center" vertical="center" wrapText="1"/>
    </xf>
    <xf numFmtId="0" fontId="27" fillId="0" borderId="0" xfId="0" applyFont="1" applyProtection="1"/>
    <xf numFmtId="0" fontId="30" fillId="0" borderId="0" xfId="0" applyFont="1" applyAlignment="1" applyProtection="1">
      <alignment vertical="center"/>
    </xf>
    <xf numFmtId="44" fontId="1" fillId="2" borderId="0" xfId="0" applyNumberFormat="1" applyFont="1" applyFill="1" applyBorder="1" applyAlignment="1" applyProtection="1">
      <alignment horizontal="center" vertical="center" wrapText="1"/>
    </xf>
    <xf numFmtId="0" fontId="21" fillId="2" borderId="0" xfId="0" applyFont="1" applyFill="1" applyAlignment="1" applyProtection="1">
      <alignment horizontal="center" vertical="center"/>
    </xf>
    <xf numFmtId="14" fontId="31" fillId="2" borderId="0" xfId="0" applyNumberFormat="1" applyFont="1" applyFill="1" applyBorder="1" applyAlignment="1" applyProtection="1">
      <alignment horizontal="center" vertical="center"/>
    </xf>
    <xf numFmtId="0" fontId="21" fillId="2" borderId="0" xfId="0" applyFont="1" applyFill="1" applyAlignment="1" applyProtection="1">
      <alignment horizontal="center"/>
    </xf>
    <xf numFmtId="14" fontId="33" fillId="2" borderId="0" xfId="0" applyNumberFormat="1" applyFont="1" applyFill="1" applyBorder="1" applyAlignment="1" applyProtection="1">
      <alignment horizontal="center" vertical="center"/>
    </xf>
    <xf numFmtId="0" fontId="21" fillId="0" borderId="19" xfId="0" applyFont="1" applyBorder="1" applyAlignment="1" applyProtection="1">
      <alignment vertical="top" wrapText="1"/>
    </xf>
    <xf numFmtId="0" fontId="21" fillId="0" borderId="20" xfId="0" applyFont="1" applyFill="1" applyBorder="1" applyAlignment="1" applyProtection="1">
      <alignment wrapText="1"/>
    </xf>
    <xf numFmtId="0" fontId="21" fillId="0" borderId="21" xfId="0" applyFont="1" applyFill="1" applyBorder="1" applyAlignment="1" applyProtection="1">
      <alignment wrapText="1"/>
    </xf>
    <xf numFmtId="0" fontId="21" fillId="0" borderId="22" xfId="0" applyFont="1" applyFill="1" applyBorder="1" applyAlignment="1" applyProtection="1">
      <alignment wrapText="1"/>
    </xf>
    <xf numFmtId="0" fontId="38" fillId="2" borderId="0" xfId="0" applyFont="1" applyFill="1" applyBorder="1" applyAlignment="1" applyProtection="1">
      <alignment horizontal="center" vertical="center" wrapText="1"/>
    </xf>
    <xf numFmtId="0" fontId="21" fillId="0" borderId="23" xfId="0" applyFont="1" applyBorder="1" applyProtection="1"/>
    <xf numFmtId="0" fontId="39" fillId="2" borderId="0" xfId="0" applyFont="1" applyFill="1" applyBorder="1" applyAlignment="1" applyProtection="1">
      <alignment horizontal="left" vertical="center" wrapText="1"/>
    </xf>
    <xf numFmtId="0" fontId="21" fillId="0" borderId="23" xfId="0" applyFont="1" applyFill="1" applyBorder="1" applyProtection="1"/>
    <xf numFmtId="0" fontId="21" fillId="0" borderId="18" xfId="0" applyFont="1" applyBorder="1" applyProtection="1"/>
    <xf numFmtId="0" fontId="0" fillId="0" borderId="19" xfId="0" applyBorder="1" applyProtection="1"/>
    <xf numFmtId="0" fontId="21" fillId="20" borderId="24" xfId="0" applyFont="1" applyFill="1" applyBorder="1" applyAlignment="1" applyProtection="1">
      <alignment vertical="center" wrapText="1"/>
    </xf>
    <xf numFmtId="0" fontId="21" fillId="0" borderId="19" xfId="0" applyFont="1" applyBorder="1" applyAlignment="1" applyProtection="1">
      <alignment vertical="center" wrapText="1"/>
    </xf>
    <xf numFmtId="0" fontId="21" fillId="0" borderId="25" xfId="0" applyFont="1" applyBorder="1" applyAlignment="1" applyProtection="1">
      <alignment vertical="center" wrapText="1"/>
    </xf>
    <xf numFmtId="0" fontId="21" fillId="2" borderId="0" xfId="0" applyFont="1" applyFill="1" applyBorder="1" applyAlignment="1" applyProtection="1">
      <alignment horizontal="left" vertical="center" wrapText="1"/>
    </xf>
    <xf numFmtId="0" fontId="40" fillId="2" borderId="0" xfId="0" applyFont="1" applyFill="1" applyBorder="1" applyAlignment="1" applyProtection="1">
      <alignment vertical="top" wrapText="1"/>
    </xf>
    <xf numFmtId="0" fontId="41" fillId="2" borderId="0" xfId="0" applyFont="1" applyFill="1" applyBorder="1" applyAlignment="1" applyProtection="1">
      <alignment horizontal="left" vertical="center" wrapText="1"/>
    </xf>
    <xf numFmtId="0" fontId="20" fillId="0" borderId="0" xfId="0" applyFont="1" applyBorder="1" applyAlignment="1" applyProtection="1">
      <alignment vertical="top" wrapText="1"/>
    </xf>
    <xf numFmtId="0" fontId="42" fillId="2" borderId="0" xfId="0" applyFont="1" applyFill="1" applyBorder="1" applyAlignment="1" applyProtection="1">
      <alignment horizontal="left" vertical="center" wrapText="1"/>
    </xf>
    <xf numFmtId="0" fontId="5" fillId="0" borderId="23" xfId="0" applyFont="1" applyFill="1" applyBorder="1" applyAlignment="1" applyProtection="1">
      <alignment vertical="top" wrapText="1"/>
    </xf>
    <xf numFmtId="0" fontId="0" fillId="21" borderId="26" xfId="0" applyFill="1" applyBorder="1" applyProtection="1"/>
    <xf numFmtId="0" fontId="0" fillId="21" borderId="27" xfId="0" applyFill="1" applyBorder="1" applyProtection="1"/>
    <xf numFmtId="0" fontId="0" fillId="21" borderId="27" xfId="0" applyFill="1" applyBorder="1" applyAlignment="1" applyProtection="1">
      <alignment horizontal="center" vertical="center"/>
    </xf>
    <xf numFmtId="0" fontId="0" fillId="2" borderId="0" xfId="0" applyFill="1" applyBorder="1" applyAlignment="1" applyProtection="1">
      <alignment horizontal="right"/>
    </xf>
    <xf numFmtId="0" fontId="0" fillId="0" borderId="23" xfId="0" applyBorder="1" applyProtection="1"/>
    <xf numFmtId="0" fontId="0" fillId="22" borderId="28" xfId="0" applyFill="1" applyBorder="1" applyProtection="1"/>
    <xf numFmtId="0" fontId="0" fillId="22" borderId="0" xfId="0" applyFill="1" applyBorder="1" applyProtection="1"/>
    <xf numFmtId="0" fontId="43" fillId="22" borderId="28" xfId="0" applyFont="1" applyFill="1" applyBorder="1" applyAlignment="1" applyProtection="1">
      <alignment vertical="center" wrapText="1"/>
    </xf>
    <xf numFmtId="0" fontId="44" fillId="2" borderId="0" xfId="0" applyFont="1" applyFill="1" applyBorder="1" applyAlignment="1" applyProtection="1">
      <alignment horizontal="left"/>
    </xf>
    <xf numFmtId="0" fontId="39" fillId="22" borderId="0" xfId="0" applyFont="1" applyFill="1" applyBorder="1" applyProtection="1"/>
    <xf numFmtId="0" fontId="0" fillId="22" borderId="0" xfId="0" applyFill="1" applyBorder="1" applyAlignment="1" applyProtection="1">
      <alignment horizontal="center" vertical="center"/>
    </xf>
    <xf numFmtId="0" fontId="45" fillId="2" borderId="0" xfId="0" applyFont="1" applyFill="1" applyBorder="1" applyAlignment="1" applyProtection="1">
      <alignment horizontal="center" vertical="center" wrapText="1"/>
    </xf>
    <xf numFmtId="0" fontId="0" fillId="0" borderId="18" xfId="0" applyBorder="1" applyProtection="1"/>
    <xf numFmtId="0" fontId="0" fillId="2" borderId="0" xfId="0" applyFill="1" applyBorder="1" applyProtection="1"/>
    <xf numFmtId="0" fontId="0" fillId="19" borderId="0" xfId="0" applyFill="1" applyProtection="1"/>
    <xf numFmtId="0" fontId="20" fillId="0" borderId="0" xfId="0" applyFont="1" applyBorder="1" applyAlignment="1" applyProtection="1">
      <alignment horizontal="left" vertical="top" wrapText="1"/>
    </xf>
    <xf numFmtId="0" fontId="0" fillId="0" borderId="0" xfId="0" applyFill="1" applyBorder="1" applyAlignment="1" applyProtection="1">
      <alignment horizontal="center"/>
    </xf>
    <xf numFmtId="0" fontId="20" fillId="0" borderId="0" xfId="0" applyFont="1" applyFill="1" applyBorder="1" applyAlignment="1" applyProtection="1"/>
    <xf numFmtId="9" fontId="0" fillId="0" borderId="0" xfId="0" applyNumberFormat="1" applyFill="1" applyBorder="1" applyAlignment="1" applyProtection="1">
      <alignment horizontal="right"/>
    </xf>
    <xf numFmtId="0" fontId="0" fillId="0" borderId="0" xfId="0" applyFill="1" applyBorder="1" applyAlignment="1" applyProtection="1"/>
    <xf numFmtId="0" fontId="0" fillId="0" borderId="0" xfId="0" applyFill="1" applyBorder="1" applyAlignment="1" applyProtection="1">
      <alignment horizontal="right"/>
    </xf>
    <xf numFmtId="0" fontId="20" fillId="0" borderId="0" xfId="0" applyFont="1" applyAlignment="1" applyProtection="1">
      <alignment horizontal="right"/>
    </xf>
    <xf numFmtId="0" fontId="20" fillId="17" borderId="0" xfId="0" applyFont="1" applyFill="1" applyProtection="1"/>
    <xf numFmtId="0" fontId="0" fillId="0" borderId="6" xfId="0" applyBorder="1" applyAlignment="1" applyProtection="1">
      <alignment horizontal="center"/>
    </xf>
    <xf numFmtId="0" fontId="0" fillId="0" borderId="10" xfId="0" applyBorder="1" applyAlignment="1" applyProtection="1">
      <alignment horizontal="center"/>
    </xf>
    <xf numFmtId="0" fontId="0" fillId="0" borderId="13" xfId="0" applyBorder="1" applyAlignment="1" applyProtection="1">
      <alignment horizontal="center"/>
    </xf>
    <xf numFmtId="44" fontId="0" fillId="0" borderId="0" xfId="0" applyNumberFormat="1" applyFill="1" applyBorder="1" applyAlignment="1" applyProtection="1"/>
    <xf numFmtId="0" fontId="0" fillId="23" borderId="29" xfId="0" applyFill="1" applyBorder="1" applyProtection="1"/>
    <xf numFmtId="0" fontId="0" fillId="23" borderId="30" xfId="0" applyFill="1" applyBorder="1" applyProtection="1"/>
    <xf numFmtId="0" fontId="0" fillId="23" borderId="0" xfId="0" applyFill="1" applyBorder="1" applyProtection="1"/>
    <xf numFmtId="0" fontId="0" fillId="23" borderId="15" xfId="0" applyFill="1" applyBorder="1" applyProtection="1"/>
    <xf numFmtId="0" fontId="20" fillId="23" borderId="15" xfId="0" applyFont="1" applyFill="1" applyBorder="1" applyAlignment="1" applyProtection="1">
      <alignment vertical="top" wrapText="1"/>
    </xf>
    <xf numFmtId="0" fontId="21" fillId="23" borderId="0" xfId="0" applyFont="1" applyFill="1" applyBorder="1" applyAlignment="1" applyProtection="1">
      <alignment horizontal="left"/>
    </xf>
    <xf numFmtId="0" fontId="20" fillId="23" borderId="15" xfId="0" applyFont="1" applyFill="1" applyBorder="1" applyAlignment="1" applyProtection="1">
      <alignment horizontal="left" vertical="top" wrapText="1"/>
    </xf>
    <xf numFmtId="0" fontId="0" fillId="23" borderId="31" xfId="0" applyFill="1" applyBorder="1" applyProtection="1"/>
    <xf numFmtId="0" fontId="20" fillId="23" borderId="32" xfId="0" applyFont="1" applyFill="1" applyBorder="1" applyProtection="1"/>
    <xf numFmtId="0" fontId="0" fillId="23" borderId="32" xfId="0" applyFill="1" applyBorder="1" applyProtection="1"/>
    <xf numFmtId="0" fontId="0" fillId="23" borderId="32" xfId="0" applyFill="1" applyBorder="1" applyAlignment="1" applyProtection="1">
      <alignment horizontal="left"/>
    </xf>
    <xf numFmtId="0" fontId="0" fillId="23" borderId="33" xfId="0" applyFill="1" applyBorder="1" applyProtection="1"/>
    <xf numFmtId="0" fontId="20" fillId="23" borderId="0" xfId="0" applyFont="1" applyFill="1" applyBorder="1" applyAlignment="1" applyProtection="1">
      <alignment vertical="top" wrapText="1"/>
    </xf>
    <xf numFmtId="0" fontId="43" fillId="0" borderId="0" xfId="0" applyFont="1" applyBorder="1" applyAlignment="1" applyProtection="1">
      <alignment vertical="center" wrapText="1"/>
    </xf>
    <xf numFmtId="0" fontId="20" fillId="23" borderId="34" xfId="0" applyFont="1" applyFill="1" applyBorder="1" applyProtection="1"/>
    <xf numFmtId="0" fontId="0" fillId="23" borderId="34" xfId="0" applyFill="1" applyBorder="1" applyProtection="1"/>
    <xf numFmtId="0" fontId="20" fillId="23" borderId="0" xfId="0" applyFont="1" applyFill="1" applyBorder="1" applyProtection="1"/>
    <xf numFmtId="0" fontId="31" fillId="23" borderId="29" xfId="0" applyFont="1" applyFill="1" applyBorder="1" applyProtection="1"/>
    <xf numFmtId="0" fontId="20" fillId="23" borderId="29" xfId="0" applyFont="1" applyFill="1" applyBorder="1" applyProtection="1"/>
    <xf numFmtId="0" fontId="0" fillId="0" borderId="35" xfId="0" applyFill="1" applyBorder="1" applyAlignment="1" applyProtection="1">
      <alignment horizontal="center" vertical="center"/>
    </xf>
    <xf numFmtId="0" fontId="0" fillId="0" borderId="13" xfId="0" applyFill="1" applyBorder="1" applyProtection="1"/>
    <xf numFmtId="0" fontId="0" fillId="0" borderId="6" xfId="0" applyFill="1" applyBorder="1" applyAlignment="1" applyProtection="1">
      <alignment horizontal="center"/>
    </xf>
    <xf numFmtId="0" fontId="31" fillId="3" borderId="0" xfId="0" applyFont="1" applyFill="1" applyAlignment="1" applyProtection="1">
      <alignment horizontal="right"/>
    </xf>
    <xf numFmtId="0" fontId="34" fillId="0" borderId="0" xfId="0" applyFont="1" applyFill="1" applyBorder="1" applyAlignment="1" applyProtection="1">
      <alignment horizontal="left" wrapText="1"/>
    </xf>
    <xf numFmtId="0" fontId="0" fillId="24" borderId="7" xfId="0" applyFill="1" applyBorder="1" applyProtection="1"/>
    <xf numFmtId="0" fontId="0" fillId="0" borderId="34" xfId="0" applyBorder="1" applyAlignment="1" applyProtection="1">
      <alignment horizontal="center" vertical="center"/>
    </xf>
    <xf numFmtId="0" fontId="0" fillId="0" borderId="32" xfId="0" applyBorder="1" applyAlignment="1" applyProtection="1">
      <alignment horizontal="center" vertical="center"/>
    </xf>
    <xf numFmtId="0" fontId="46" fillId="0" borderId="0" xfId="0" applyFont="1" applyProtection="1"/>
    <xf numFmtId="0" fontId="1" fillId="0" borderId="17" xfId="0" applyFont="1" applyBorder="1" applyAlignment="1" applyProtection="1">
      <alignment vertical="center" wrapText="1"/>
    </xf>
    <xf numFmtId="0" fontId="8" fillId="0" borderId="17" xfId="0" applyFont="1" applyBorder="1" applyAlignment="1" applyProtection="1">
      <alignment vertical="center" wrapText="1"/>
    </xf>
    <xf numFmtId="0" fontId="0" fillId="0" borderId="17" xfId="0" applyBorder="1" applyProtection="1"/>
    <xf numFmtId="0" fontId="30" fillId="0" borderId="19" xfId="0" applyFont="1" applyBorder="1" applyAlignment="1" applyProtection="1">
      <alignment vertical="center" wrapText="1"/>
    </xf>
    <xf numFmtId="0" fontId="5" fillId="0" borderId="0" xfId="0" applyFont="1" applyFill="1" applyBorder="1" applyAlignment="1" applyProtection="1">
      <alignment vertical="top" wrapText="1"/>
    </xf>
    <xf numFmtId="0" fontId="22" fillId="5" borderId="0" xfId="0" applyFont="1" applyFill="1" applyBorder="1" applyAlignment="1" applyProtection="1">
      <alignment horizontal="left" vertical="center"/>
    </xf>
    <xf numFmtId="0" fontId="21" fillId="0" borderId="0" xfId="0" applyFont="1" applyBorder="1" applyAlignment="1" applyProtection="1">
      <alignment horizontal="left"/>
    </xf>
    <xf numFmtId="0" fontId="21" fillId="14" borderId="0" xfId="0" applyFont="1" applyFill="1" applyBorder="1" applyAlignment="1" applyProtection="1">
      <alignment horizontal="left" vertical="center"/>
    </xf>
    <xf numFmtId="0" fontId="20" fillId="0" borderId="0" xfId="0" applyFont="1" applyFill="1" applyBorder="1" applyProtection="1"/>
    <xf numFmtId="0" fontId="47" fillId="0" borderId="0" xfId="0" applyFont="1" applyFill="1" applyBorder="1" applyAlignment="1" applyProtection="1">
      <alignment vertical="center" textRotation="90"/>
    </xf>
    <xf numFmtId="0" fontId="21" fillId="0" borderId="0" xfId="0" applyFont="1" applyBorder="1" applyAlignment="1" applyProtection="1">
      <alignment vertical="top" wrapText="1"/>
    </xf>
    <xf numFmtId="0" fontId="21" fillId="0" borderId="19" xfId="0" applyFont="1" applyBorder="1" applyProtection="1"/>
    <xf numFmtId="0" fontId="19" fillId="0" borderId="0" xfId="0" applyFont="1" applyFill="1" applyBorder="1" applyAlignment="1" applyProtection="1">
      <alignment horizontal="left"/>
    </xf>
    <xf numFmtId="0" fontId="0" fillId="0" borderId="0" xfId="0" applyFill="1" applyBorder="1" applyAlignment="1" applyProtection="1">
      <alignment horizontal="center" vertical="center"/>
    </xf>
    <xf numFmtId="0" fontId="39" fillId="0" borderId="0" xfId="0" applyFont="1" applyFill="1" applyBorder="1" applyAlignment="1" applyProtection="1">
      <alignment wrapText="1"/>
    </xf>
    <xf numFmtId="0" fontId="19" fillId="0" borderId="0" xfId="0" applyFont="1" applyFill="1" applyBorder="1" applyAlignment="1" applyProtection="1">
      <protection locked="0"/>
    </xf>
    <xf numFmtId="0" fontId="19" fillId="0" borderId="0" xfId="0" applyFont="1" applyFill="1" applyBorder="1" applyAlignment="1" applyProtection="1"/>
    <xf numFmtId="0" fontId="25" fillId="0" borderId="0" xfId="0" applyFont="1" applyFill="1" applyBorder="1" applyAlignment="1" applyProtection="1">
      <alignment horizontal="center"/>
    </xf>
    <xf numFmtId="0" fontId="21" fillId="25" borderId="23" xfId="0" applyFont="1" applyFill="1" applyBorder="1" applyProtection="1"/>
    <xf numFmtId="0" fontId="20" fillId="25" borderId="4" xfId="0" applyFont="1" applyFill="1" applyBorder="1" applyProtection="1"/>
    <xf numFmtId="0" fontId="48" fillId="11" borderId="24" xfId="0" applyFont="1" applyFill="1" applyBorder="1" applyAlignment="1" applyProtection="1">
      <alignment vertical="center" wrapText="1"/>
    </xf>
    <xf numFmtId="0" fontId="19" fillId="12" borderId="36" xfId="0" applyFont="1" applyFill="1" applyBorder="1" applyAlignment="1" applyProtection="1"/>
    <xf numFmtId="0" fontId="21" fillId="13" borderId="24" xfId="0" applyFont="1" applyFill="1" applyBorder="1" applyAlignment="1" applyProtection="1">
      <alignment vertical="center" wrapText="1"/>
    </xf>
    <xf numFmtId="0" fontId="0" fillId="26" borderId="37" xfId="0" applyFill="1" applyBorder="1" applyAlignment="1" applyProtection="1">
      <alignment vertical="center"/>
    </xf>
    <xf numFmtId="0" fontId="21" fillId="0" borderId="0" xfId="0" applyFont="1" applyBorder="1" applyAlignment="1" applyProtection="1">
      <alignment wrapText="1"/>
    </xf>
    <xf numFmtId="0" fontId="48" fillId="24" borderId="4" xfId="0" applyFont="1" applyFill="1" applyBorder="1" applyProtection="1"/>
    <xf numFmtId="0" fontId="18" fillId="27" borderId="0" xfId="0" applyFont="1" applyFill="1" applyBorder="1" applyAlignment="1" applyProtection="1">
      <alignment horizontal="right"/>
    </xf>
    <xf numFmtId="0" fontId="19" fillId="27" borderId="0" xfId="0" applyFont="1" applyFill="1" applyBorder="1" applyAlignment="1" applyProtection="1">
      <alignment vertical="center"/>
      <protection locked="0"/>
    </xf>
    <xf numFmtId="0" fontId="19" fillId="27" borderId="0" xfId="0" applyFont="1" applyFill="1" applyBorder="1" applyAlignment="1" applyProtection="1">
      <alignment horizontal="left" vertical="center"/>
      <protection locked="0"/>
    </xf>
    <xf numFmtId="0" fontId="39" fillId="27" borderId="0" xfId="0" applyFont="1" applyFill="1" applyBorder="1" applyAlignment="1" applyProtection="1">
      <alignment wrapText="1"/>
    </xf>
    <xf numFmtId="0" fontId="19" fillId="27" borderId="0" xfId="0" applyFont="1" applyFill="1" applyBorder="1" applyAlignment="1" applyProtection="1">
      <protection locked="0"/>
    </xf>
    <xf numFmtId="0" fontId="19" fillId="27" borderId="0" xfId="0" applyFont="1" applyFill="1" applyBorder="1" applyAlignment="1" applyProtection="1">
      <alignment horizontal="left"/>
      <protection locked="0"/>
    </xf>
    <xf numFmtId="0" fontId="0" fillId="27" borderId="29" xfId="0" applyFill="1" applyBorder="1" applyProtection="1"/>
    <xf numFmtId="0" fontId="0" fillId="27" borderId="34" xfId="0" applyFill="1" applyBorder="1" applyProtection="1"/>
    <xf numFmtId="0" fontId="0" fillId="27" borderId="34" xfId="0" applyFill="1" applyBorder="1" applyAlignment="1" applyProtection="1">
      <alignment horizontal="left"/>
    </xf>
    <xf numFmtId="0" fontId="0" fillId="27" borderId="38" xfId="0" applyFill="1" applyBorder="1" applyProtection="1"/>
    <xf numFmtId="0" fontId="19" fillId="27" borderId="30" xfId="0" applyFont="1" applyFill="1" applyBorder="1" applyAlignment="1" applyProtection="1">
      <alignment vertical="center"/>
      <protection locked="0"/>
    </xf>
    <xf numFmtId="0" fontId="39" fillId="27" borderId="15" xfId="0" applyFont="1" applyFill="1" applyBorder="1" applyAlignment="1" applyProtection="1">
      <alignment wrapText="1"/>
    </xf>
    <xf numFmtId="0" fontId="19" fillId="27" borderId="30" xfId="0" applyFont="1" applyFill="1" applyBorder="1" applyAlignment="1" applyProtection="1">
      <protection locked="0"/>
    </xf>
    <xf numFmtId="0" fontId="19" fillId="27" borderId="31" xfId="0" applyFont="1" applyFill="1" applyBorder="1" applyAlignment="1" applyProtection="1">
      <protection locked="0"/>
    </xf>
    <xf numFmtId="0" fontId="19" fillId="27" borderId="32" xfId="0" applyFont="1" applyFill="1" applyBorder="1" applyAlignment="1" applyProtection="1">
      <protection locked="0"/>
    </xf>
    <xf numFmtId="0" fontId="19" fillId="27" borderId="32" xfId="0" applyFont="1" applyFill="1" applyBorder="1" applyAlignment="1" applyProtection="1">
      <alignment horizontal="left"/>
      <protection locked="0"/>
    </xf>
    <xf numFmtId="0" fontId="39" fillId="27" borderId="32" xfId="0" applyFont="1" applyFill="1" applyBorder="1" applyAlignment="1" applyProtection="1">
      <alignment wrapText="1"/>
    </xf>
    <xf numFmtId="0" fontId="39" fillId="27" borderId="33" xfId="0" applyFont="1" applyFill="1" applyBorder="1" applyAlignment="1" applyProtection="1">
      <alignment wrapText="1"/>
    </xf>
    <xf numFmtId="0" fontId="21" fillId="0" borderId="0" xfId="0" applyFont="1" applyFill="1" applyBorder="1" applyAlignment="1" applyProtection="1">
      <alignment horizontal="center" vertical="center"/>
      <protection locked="0"/>
    </xf>
    <xf numFmtId="0" fontId="21" fillId="0" borderId="0" xfId="0" applyFont="1" applyBorder="1" applyAlignment="1" applyProtection="1">
      <alignment horizontal="center" vertical="center"/>
      <protection locked="0"/>
    </xf>
    <xf numFmtId="0" fontId="21" fillId="0" borderId="19" xfId="0" applyFont="1" applyBorder="1" applyAlignment="1" applyProtection="1">
      <alignment horizontal="center" vertical="center"/>
      <protection locked="0"/>
    </xf>
    <xf numFmtId="0" fontId="21" fillId="0" borderId="19" xfId="0" applyFont="1" applyFill="1" applyBorder="1" applyAlignment="1" applyProtection="1">
      <alignment horizontal="center" vertical="center"/>
      <protection locked="0"/>
    </xf>
    <xf numFmtId="0" fontId="49" fillId="0" borderId="0" xfId="0" applyFont="1" applyFill="1" applyBorder="1" applyAlignment="1" applyProtection="1">
      <alignment horizontal="center" vertical="center" wrapText="1"/>
    </xf>
    <xf numFmtId="0" fontId="0" fillId="0" borderId="39" xfId="0" applyBorder="1" applyProtection="1"/>
    <xf numFmtId="0" fontId="0" fillId="0" borderId="40" xfId="0" applyBorder="1" applyProtection="1"/>
    <xf numFmtId="0" fontId="8" fillId="0" borderId="17" xfId="0" applyFont="1" applyBorder="1" applyAlignment="1" applyProtection="1">
      <alignment horizontal="right" vertical="center" wrapText="1"/>
    </xf>
    <xf numFmtId="44" fontId="50" fillId="0" borderId="0" xfId="0" applyNumberFormat="1" applyFont="1" applyBorder="1" applyAlignment="1" applyProtection="1">
      <alignment horizontal="center" vertical="center" wrapText="1"/>
    </xf>
    <xf numFmtId="0" fontId="21" fillId="22" borderId="28" xfId="0" applyFont="1" applyFill="1" applyBorder="1" applyAlignment="1" applyProtection="1">
      <alignment horizontal="center"/>
    </xf>
    <xf numFmtId="0" fontId="51" fillId="22" borderId="28" xfId="0" applyFont="1" applyFill="1" applyBorder="1" applyAlignment="1" applyProtection="1">
      <alignment horizontal="center" vertical="center" wrapText="1"/>
    </xf>
    <xf numFmtId="0" fontId="0" fillId="0" borderId="7" xfId="0" applyBorder="1" applyProtection="1"/>
    <xf numFmtId="0" fontId="52" fillId="10" borderId="10" xfId="4" applyFont="1" applyFill="1" applyBorder="1" applyAlignment="1">
      <alignment horizontal="center" vertical="center"/>
    </xf>
    <xf numFmtId="0" fontId="52" fillId="28" borderId="10" xfId="4" applyFont="1" applyFill="1" applyBorder="1" applyAlignment="1">
      <alignment horizontal="center" vertical="center"/>
    </xf>
    <xf numFmtId="0" fontId="52" fillId="29" borderId="10" xfId="4" applyFont="1" applyFill="1" applyBorder="1" applyAlignment="1">
      <alignment horizontal="center" vertical="center"/>
    </xf>
    <xf numFmtId="0" fontId="52" fillId="30" borderId="10" xfId="4" applyFont="1" applyFill="1" applyBorder="1" applyAlignment="1">
      <alignment horizontal="center" vertical="center"/>
    </xf>
    <xf numFmtId="0" fontId="52" fillId="31" borderId="10" xfId="4" applyFont="1" applyFill="1" applyBorder="1" applyAlignment="1">
      <alignment horizontal="center" vertical="center"/>
    </xf>
    <xf numFmtId="0" fontId="52" fillId="32" borderId="10" xfId="4" applyFont="1" applyFill="1" applyBorder="1" applyAlignment="1">
      <alignment horizontal="center" vertical="center"/>
    </xf>
    <xf numFmtId="0" fontId="52" fillId="33" borderId="10" xfId="4" applyFont="1" applyFill="1" applyBorder="1" applyAlignment="1">
      <alignment horizontal="center" vertical="center"/>
    </xf>
    <xf numFmtId="0" fontId="52" fillId="34" borderId="10" xfId="4" applyFont="1" applyFill="1" applyBorder="1" applyAlignment="1">
      <alignment horizontal="center" vertical="center"/>
    </xf>
    <xf numFmtId="0" fontId="52" fillId="35" borderId="10" xfId="4" applyFont="1" applyFill="1" applyBorder="1" applyAlignment="1">
      <alignment horizontal="center" vertical="center"/>
    </xf>
    <xf numFmtId="0" fontId="0" fillId="36" borderId="41" xfId="0" applyFont="1" applyFill="1" applyBorder="1" applyAlignment="1">
      <alignment horizontal="center"/>
    </xf>
    <xf numFmtId="0" fontId="0" fillId="37" borderId="11" xfId="0" applyFont="1" applyFill="1" applyBorder="1" applyAlignment="1">
      <alignment horizontal="center"/>
    </xf>
    <xf numFmtId="0" fontId="0" fillId="0" borderId="7" xfId="0" applyBorder="1" applyAlignment="1" applyProtection="1">
      <alignment horizontal="center"/>
    </xf>
    <xf numFmtId="44" fontId="50" fillId="0" borderId="42" xfId="0" applyNumberFormat="1" applyFont="1" applyBorder="1" applyAlignment="1" applyProtection="1">
      <alignment horizontal="center" vertical="center" wrapText="1"/>
    </xf>
    <xf numFmtId="0" fontId="39" fillId="0" borderId="43" xfId="0" applyFont="1" applyBorder="1" applyAlignment="1" applyProtection="1">
      <alignment vertical="center" wrapText="1"/>
      <protection locked="0"/>
    </xf>
    <xf numFmtId="0" fontId="51" fillId="0" borderId="0" xfId="0" applyFont="1" applyFill="1" applyBorder="1" applyAlignment="1" applyProtection="1">
      <alignment horizontal="center" vertical="center" wrapText="1"/>
    </xf>
    <xf numFmtId="0" fontId="5" fillId="38" borderId="16" xfId="0" applyFont="1" applyFill="1" applyBorder="1" applyAlignment="1" applyProtection="1">
      <alignment horizontal="center" vertical="center" textRotation="90" wrapText="1"/>
    </xf>
    <xf numFmtId="0" fontId="5" fillId="38" borderId="37" xfId="0" applyFont="1" applyFill="1" applyBorder="1" applyAlignment="1" applyProtection="1">
      <alignment horizontal="center" vertical="center" textRotation="90" wrapText="1"/>
    </xf>
    <xf numFmtId="0" fontId="5" fillId="38" borderId="23" xfId="0" applyFont="1" applyFill="1" applyBorder="1" applyAlignment="1" applyProtection="1">
      <alignment horizontal="center" vertical="center" textRotation="90" wrapText="1"/>
    </xf>
    <xf numFmtId="0" fontId="5" fillId="38" borderId="43" xfId="0" applyFont="1" applyFill="1" applyBorder="1" applyAlignment="1" applyProtection="1">
      <alignment horizontal="center" vertical="center" textRotation="90" wrapText="1"/>
    </xf>
    <xf numFmtId="0" fontId="69" fillId="0" borderId="23" xfId="0" applyFont="1" applyBorder="1" applyAlignment="1" applyProtection="1">
      <alignment horizontal="left" vertical="top" wrapText="1"/>
      <protection locked="0"/>
    </xf>
    <xf numFmtId="0" fontId="69" fillId="0" borderId="0" xfId="0" applyFont="1" applyBorder="1" applyAlignment="1" applyProtection="1">
      <alignment horizontal="left" vertical="top" wrapText="1"/>
      <protection locked="0"/>
    </xf>
    <xf numFmtId="0" fontId="69" fillId="0" borderId="43" xfId="0" applyFont="1" applyBorder="1" applyAlignment="1" applyProtection="1">
      <alignment horizontal="left" vertical="top" wrapText="1"/>
      <protection locked="0"/>
    </xf>
    <xf numFmtId="0" fontId="69" fillId="0" borderId="18" xfId="0" applyFont="1" applyBorder="1" applyAlignment="1" applyProtection="1">
      <alignment horizontal="left" vertical="top" wrapText="1"/>
      <protection locked="0"/>
    </xf>
    <xf numFmtId="0" fontId="69" fillId="0" borderId="19" xfId="0" applyFont="1" applyBorder="1" applyAlignment="1" applyProtection="1">
      <alignment horizontal="left" vertical="top" wrapText="1"/>
      <protection locked="0"/>
    </xf>
    <xf numFmtId="0" fontId="69" fillId="0" borderId="25" xfId="0" applyFont="1" applyBorder="1" applyAlignment="1" applyProtection="1">
      <alignment horizontal="left" vertical="top" wrapText="1"/>
      <protection locked="0"/>
    </xf>
    <xf numFmtId="0" fontId="69" fillId="0" borderId="16" xfId="0" applyFont="1" applyBorder="1" applyAlignment="1" applyProtection="1">
      <alignment horizontal="left" vertical="top" wrapText="1"/>
      <protection locked="0"/>
    </xf>
    <xf numFmtId="0" fontId="69" fillId="0" borderId="17" xfId="0" applyFont="1" applyBorder="1" applyAlignment="1" applyProtection="1">
      <alignment horizontal="left" vertical="top" wrapText="1"/>
      <protection locked="0"/>
    </xf>
    <xf numFmtId="0" fontId="69" fillId="0" borderId="37" xfId="0" applyFont="1" applyBorder="1" applyAlignment="1" applyProtection="1">
      <alignment horizontal="left" vertical="top" wrapText="1"/>
      <protection locked="0"/>
    </xf>
    <xf numFmtId="0" fontId="0" fillId="0" borderId="16" xfId="0" applyBorder="1" applyAlignment="1" applyProtection="1">
      <alignment horizontal="left" vertical="top"/>
      <protection locked="0"/>
    </xf>
    <xf numFmtId="0" fontId="0" fillId="0" borderId="17" xfId="0" applyBorder="1" applyAlignment="1" applyProtection="1">
      <alignment horizontal="left" vertical="top"/>
      <protection locked="0"/>
    </xf>
    <xf numFmtId="0" fontId="0" fillId="0" borderId="37" xfId="0" applyBorder="1" applyAlignment="1" applyProtection="1">
      <alignment horizontal="left" vertical="top"/>
      <protection locked="0"/>
    </xf>
    <xf numFmtId="0" fontId="0" fillId="0" borderId="23" xfId="0" applyBorder="1" applyAlignment="1" applyProtection="1">
      <alignment horizontal="left" vertical="top"/>
      <protection locked="0"/>
    </xf>
    <xf numFmtId="0" fontId="0" fillId="0" borderId="0" xfId="0" applyBorder="1" applyAlignment="1" applyProtection="1">
      <alignment horizontal="left" vertical="top"/>
      <protection locked="0"/>
    </xf>
    <xf numFmtId="0" fontId="0" fillId="0" borderId="43" xfId="0" applyBorder="1" applyAlignment="1" applyProtection="1">
      <alignment horizontal="left" vertical="top"/>
      <protection locked="0"/>
    </xf>
    <xf numFmtId="0" fontId="0" fillId="22" borderId="51" xfId="0" applyFill="1" applyBorder="1" applyAlignment="1" applyProtection="1">
      <alignment horizontal="center"/>
    </xf>
    <xf numFmtId="0" fontId="0" fillId="22" borderId="83" xfId="0" applyFill="1" applyBorder="1" applyAlignment="1" applyProtection="1">
      <alignment horizontal="center"/>
    </xf>
    <xf numFmtId="0" fontId="0" fillId="22" borderId="12" xfId="0" applyFill="1" applyBorder="1" applyAlignment="1" applyProtection="1">
      <alignment horizontal="center"/>
    </xf>
    <xf numFmtId="0" fontId="0" fillId="4" borderId="51" xfId="0" applyFill="1" applyBorder="1" applyAlignment="1" applyProtection="1">
      <alignment horizontal="center"/>
    </xf>
    <xf numFmtId="0" fontId="0" fillId="4" borderId="83" xfId="0" applyFill="1" applyBorder="1" applyAlignment="1" applyProtection="1">
      <alignment horizontal="center"/>
    </xf>
    <xf numFmtId="0" fontId="0" fillId="4" borderId="12" xfId="0" applyFill="1" applyBorder="1" applyAlignment="1" applyProtection="1">
      <alignment horizontal="center"/>
    </xf>
    <xf numFmtId="0" fontId="41" fillId="0" borderId="29" xfId="0" applyFont="1" applyFill="1" applyBorder="1" applyAlignment="1" applyProtection="1">
      <alignment horizontal="center" vertical="center" wrapText="1"/>
      <protection locked="0"/>
    </xf>
    <xf numFmtId="0" fontId="41" fillId="0" borderId="34" xfId="0" applyFont="1" applyFill="1" applyBorder="1" applyAlignment="1" applyProtection="1">
      <alignment horizontal="center" vertical="center" wrapText="1"/>
      <protection locked="0"/>
    </xf>
    <xf numFmtId="0" fontId="41" fillId="0" borderId="38" xfId="0" applyFont="1" applyFill="1" applyBorder="1" applyAlignment="1" applyProtection="1">
      <alignment horizontal="center" vertical="center" wrapText="1"/>
      <protection locked="0"/>
    </xf>
    <xf numFmtId="0" fontId="41" fillId="0" borderId="31" xfId="0" applyFont="1" applyFill="1" applyBorder="1" applyAlignment="1" applyProtection="1">
      <alignment horizontal="center" vertical="center" wrapText="1"/>
      <protection locked="0"/>
    </xf>
    <xf numFmtId="0" fontId="41" fillId="0" borderId="32" xfId="0" applyFont="1" applyFill="1" applyBorder="1" applyAlignment="1" applyProtection="1">
      <alignment horizontal="center" vertical="center" wrapText="1"/>
      <protection locked="0"/>
    </xf>
    <xf numFmtId="0" fontId="41" fillId="0" borderId="33" xfId="0" applyFont="1" applyFill="1" applyBorder="1" applyAlignment="1" applyProtection="1">
      <alignment horizontal="center" vertical="center" wrapText="1"/>
      <protection locked="0"/>
    </xf>
    <xf numFmtId="0" fontId="58" fillId="0" borderId="0" xfId="0" applyFont="1" applyBorder="1" applyAlignment="1" applyProtection="1">
      <alignment horizontal="center" vertical="top" wrapText="1"/>
    </xf>
    <xf numFmtId="0" fontId="58" fillId="0" borderId="32" xfId="0" applyFont="1" applyBorder="1" applyAlignment="1" applyProtection="1">
      <alignment horizontal="center" vertical="top" wrapText="1"/>
    </xf>
    <xf numFmtId="0" fontId="40" fillId="0" borderId="34" xfId="0" applyFont="1" applyBorder="1" applyAlignment="1" applyProtection="1">
      <alignment horizontal="center" wrapText="1"/>
    </xf>
    <xf numFmtId="0" fontId="40" fillId="0" borderId="0" xfId="0" applyFont="1" applyBorder="1" applyAlignment="1" applyProtection="1">
      <alignment horizontal="center" wrapText="1"/>
    </xf>
    <xf numFmtId="0" fontId="68" fillId="38" borderId="16" xfId="0" applyFont="1" applyFill="1" applyBorder="1" applyAlignment="1" applyProtection="1">
      <alignment horizontal="center" vertical="center" textRotation="90" wrapText="1"/>
    </xf>
    <xf numFmtId="0" fontId="68" fillId="38" borderId="80" xfId="0" applyFont="1" applyFill="1" applyBorder="1" applyAlignment="1" applyProtection="1">
      <alignment horizontal="center" vertical="center" textRotation="90" wrapText="1"/>
    </xf>
    <xf numFmtId="0" fontId="68" fillId="38" borderId="23" xfId="0" applyFont="1" applyFill="1" applyBorder="1" applyAlignment="1" applyProtection="1">
      <alignment horizontal="center" vertical="center" textRotation="90" wrapText="1"/>
    </xf>
    <xf numFmtId="0" fontId="68" fillId="38" borderId="81" xfId="0" applyFont="1" applyFill="1" applyBorder="1" applyAlignment="1" applyProtection="1">
      <alignment horizontal="center" vertical="center" textRotation="90" wrapText="1"/>
    </xf>
    <xf numFmtId="0" fontId="68" fillId="38" borderId="18" xfId="0" applyFont="1" applyFill="1" applyBorder="1" applyAlignment="1" applyProtection="1">
      <alignment horizontal="center" vertical="center" textRotation="90" wrapText="1"/>
    </xf>
    <xf numFmtId="0" fontId="68" fillId="38" borderId="82" xfId="0" applyFont="1" applyFill="1" applyBorder="1" applyAlignment="1" applyProtection="1">
      <alignment horizontal="center" vertical="center" textRotation="90" wrapText="1"/>
    </xf>
    <xf numFmtId="0" fontId="58" fillId="38" borderId="16" xfId="0" applyFont="1" applyFill="1" applyBorder="1" applyAlignment="1" applyProtection="1">
      <alignment horizontal="center" vertical="top" textRotation="90" wrapText="1"/>
    </xf>
    <xf numFmtId="0" fontId="58" fillId="38" borderId="17" xfId="0" applyFont="1" applyFill="1" applyBorder="1" applyAlignment="1" applyProtection="1">
      <alignment horizontal="center" vertical="top" textRotation="90" wrapText="1"/>
    </xf>
    <xf numFmtId="0" fontId="58" fillId="38" borderId="23" xfId="0" applyFont="1" applyFill="1" applyBorder="1" applyAlignment="1" applyProtection="1">
      <alignment horizontal="center" vertical="top" textRotation="90" wrapText="1"/>
    </xf>
    <xf numFmtId="0" fontId="58" fillId="38" borderId="0" xfId="0" applyFont="1" applyFill="1" applyBorder="1" applyAlignment="1" applyProtection="1">
      <alignment horizontal="center" vertical="top" textRotation="90" wrapText="1"/>
    </xf>
    <xf numFmtId="0" fontId="58" fillId="38" borderId="18" xfId="0" applyFont="1" applyFill="1" applyBorder="1" applyAlignment="1" applyProtection="1">
      <alignment horizontal="center" vertical="top" textRotation="90" wrapText="1"/>
    </xf>
    <xf numFmtId="0" fontId="58" fillId="38" borderId="19" xfId="0" applyFont="1" applyFill="1" applyBorder="1" applyAlignment="1" applyProtection="1">
      <alignment horizontal="center" vertical="top" textRotation="90" wrapText="1"/>
    </xf>
    <xf numFmtId="14" fontId="20" fillId="0" borderId="0" xfId="0" applyNumberFormat="1" applyFont="1" applyBorder="1" applyAlignment="1" applyProtection="1">
      <alignment horizontal="left" vertical="center" wrapText="1"/>
      <protection locked="0"/>
    </xf>
    <xf numFmtId="0" fontId="21" fillId="0" borderId="23" xfId="0" applyFont="1" applyBorder="1" applyAlignment="1" applyProtection="1">
      <alignment horizontal="left" vertical="center" wrapText="1"/>
    </xf>
    <xf numFmtId="0" fontId="21" fillId="0" borderId="0" xfId="0" applyFont="1" applyBorder="1" applyAlignment="1" applyProtection="1">
      <alignment horizontal="left" vertical="center" wrapText="1"/>
    </xf>
    <xf numFmtId="0" fontId="21" fillId="0" borderId="43" xfId="0" applyFont="1" applyBorder="1" applyAlignment="1" applyProtection="1">
      <alignment horizontal="left" vertical="center" wrapText="1"/>
    </xf>
    <xf numFmtId="0" fontId="0" fillId="0" borderId="0" xfId="0" applyFill="1" applyBorder="1" applyAlignment="1" applyProtection="1">
      <alignment horizontal="left" vertical="top" wrapText="1"/>
    </xf>
    <xf numFmtId="0" fontId="20" fillId="0" borderId="30" xfId="0" applyFont="1" applyBorder="1" applyAlignment="1" applyProtection="1">
      <alignment vertical="center" textRotation="90" wrapText="1"/>
    </xf>
    <xf numFmtId="0" fontId="20" fillId="0" borderId="0" xfId="0" applyFont="1" applyBorder="1" applyAlignment="1" applyProtection="1">
      <alignment vertical="center" textRotation="90" wrapText="1"/>
    </xf>
    <xf numFmtId="0" fontId="21" fillId="0" borderId="0" xfId="0" applyFont="1" applyFill="1" applyBorder="1" applyAlignment="1" applyProtection="1">
      <alignment horizontal="left"/>
    </xf>
    <xf numFmtId="0" fontId="21" fillId="0" borderId="43" xfId="0" applyFont="1" applyFill="1" applyBorder="1" applyAlignment="1" applyProtection="1">
      <alignment horizontal="left"/>
    </xf>
    <xf numFmtId="0" fontId="21" fillId="0" borderId="19" xfId="0" applyFont="1" applyFill="1" applyBorder="1" applyAlignment="1" applyProtection="1">
      <alignment horizontal="left"/>
    </xf>
    <xf numFmtId="0" fontId="21" fillId="0" borderId="25" xfId="0" applyFont="1" applyFill="1" applyBorder="1" applyAlignment="1" applyProtection="1">
      <alignment horizontal="left"/>
    </xf>
    <xf numFmtId="0" fontId="18" fillId="7" borderId="70" xfId="0" applyFont="1" applyFill="1" applyBorder="1" applyAlignment="1" applyProtection="1">
      <alignment horizontal="center" vertical="center"/>
    </xf>
    <xf numFmtId="0" fontId="18" fillId="7" borderId="35" xfId="0" applyFont="1" applyFill="1" applyBorder="1" applyAlignment="1" applyProtection="1">
      <alignment horizontal="center" vertical="center"/>
    </xf>
    <xf numFmtId="0" fontId="18" fillId="6" borderId="70" xfId="0" applyFont="1" applyFill="1" applyBorder="1" applyAlignment="1" applyProtection="1">
      <alignment horizontal="center" vertical="center"/>
    </xf>
    <xf numFmtId="0" fontId="18" fillId="6" borderId="35" xfId="0" applyFont="1" applyFill="1" applyBorder="1" applyAlignment="1" applyProtection="1">
      <alignment horizontal="center" vertical="center"/>
    </xf>
    <xf numFmtId="0" fontId="18" fillId="5" borderId="71" xfId="0" applyFont="1" applyFill="1" applyBorder="1" applyAlignment="1" applyProtection="1">
      <alignment horizontal="center" vertical="center"/>
    </xf>
    <xf numFmtId="0" fontId="18" fillId="5" borderId="63" xfId="0" applyFont="1" applyFill="1" applyBorder="1" applyAlignment="1" applyProtection="1">
      <alignment horizontal="center" vertical="center"/>
    </xf>
    <xf numFmtId="166" fontId="26" fillId="38" borderId="16" xfId="0" applyNumberFormat="1" applyFont="1" applyFill="1" applyBorder="1" applyAlignment="1" applyProtection="1">
      <alignment horizontal="center" vertical="top" wrapText="1"/>
    </xf>
    <xf numFmtId="166" fontId="26" fillId="38" borderId="63" xfId="0" applyNumberFormat="1" applyFont="1" applyFill="1" applyBorder="1" applyAlignment="1" applyProtection="1">
      <alignment horizontal="center" vertical="top" wrapText="1"/>
    </xf>
    <xf numFmtId="166" fontId="26" fillId="38" borderId="23" xfId="0" applyNumberFormat="1" applyFont="1" applyFill="1" applyBorder="1" applyAlignment="1" applyProtection="1">
      <alignment horizontal="center" vertical="top" wrapText="1"/>
    </xf>
    <xf numFmtId="166" fontId="26" fillId="38" borderId="15" xfId="0" applyNumberFormat="1" applyFont="1" applyFill="1" applyBorder="1" applyAlignment="1" applyProtection="1">
      <alignment horizontal="center" vertical="top" wrapText="1"/>
    </xf>
    <xf numFmtId="166" fontId="26" fillId="38" borderId="64" xfId="0" applyNumberFormat="1" applyFont="1" applyFill="1" applyBorder="1" applyAlignment="1" applyProtection="1">
      <alignment horizontal="center" vertical="top" wrapText="1"/>
    </xf>
    <xf numFmtId="166" fontId="26" fillId="38" borderId="33" xfId="0" applyNumberFormat="1" applyFont="1" applyFill="1" applyBorder="1" applyAlignment="1" applyProtection="1">
      <alignment horizontal="center" vertical="top" wrapText="1"/>
    </xf>
    <xf numFmtId="0" fontId="67" fillId="18" borderId="61" xfId="0" applyFont="1" applyFill="1" applyBorder="1" applyAlignment="1" applyProtection="1">
      <alignment horizontal="center" vertical="center" wrapText="1"/>
    </xf>
    <xf numFmtId="0" fontId="67" fillId="18" borderId="38" xfId="0" applyFont="1" applyFill="1" applyBorder="1" applyAlignment="1" applyProtection="1">
      <alignment horizontal="center" vertical="center" wrapText="1"/>
    </xf>
    <xf numFmtId="0" fontId="67" fillId="18" borderId="18" xfId="0" applyFont="1" applyFill="1" applyBorder="1" applyAlignment="1" applyProtection="1">
      <alignment horizontal="center" vertical="center" wrapText="1"/>
    </xf>
    <xf numFmtId="0" fontId="67" fillId="18" borderId="62" xfId="0" applyFont="1" applyFill="1" applyBorder="1" applyAlignment="1" applyProtection="1">
      <alignment horizontal="center" vertical="center" wrapText="1"/>
    </xf>
    <xf numFmtId="166" fontId="67" fillId="18" borderId="16" xfId="0" applyNumberFormat="1" applyFont="1" applyFill="1" applyBorder="1" applyAlignment="1" applyProtection="1">
      <alignment horizontal="center" vertical="top" wrapText="1"/>
    </xf>
    <xf numFmtId="166" fontId="67" fillId="18" borderId="63" xfId="0" applyNumberFormat="1" applyFont="1" applyFill="1" applyBorder="1" applyAlignment="1" applyProtection="1">
      <alignment horizontal="center" vertical="top" wrapText="1"/>
    </xf>
    <xf numFmtId="166" fontId="67" fillId="18" borderId="23" xfId="0" applyNumberFormat="1" applyFont="1" applyFill="1" applyBorder="1" applyAlignment="1" applyProtection="1">
      <alignment horizontal="center" vertical="top" wrapText="1"/>
    </xf>
    <xf numFmtId="166" fontId="67" fillId="18" borderId="15" xfId="0" applyNumberFormat="1" applyFont="1" applyFill="1" applyBorder="1" applyAlignment="1" applyProtection="1">
      <alignment horizontal="center" vertical="top" wrapText="1"/>
    </xf>
    <xf numFmtId="166" fontId="67" fillId="18" borderId="64" xfId="0" applyNumberFormat="1" applyFont="1" applyFill="1" applyBorder="1" applyAlignment="1" applyProtection="1">
      <alignment horizontal="center" vertical="top" wrapText="1"/>
    </xf>
    <xf numFmtId="166" fontId="67" fillId="18" borderId="33" xfId="0" applyNumberFormat="1" applyFont="1" applyFill="1" applyBorder="1" applyAlignment="1" applyProtection="1">
      <alignment horizontal="center" vertical="top" wrapText="1"/>
    </xf>
    <xf numFmtId="0" fontId="26" fillId="22" borderId="61" xfId="0" applyFont="1" applyFill="1" applyBorder="1" applyAlignment="1" applyProtection="1">
      <alignment horizontal="center" vertical="center" wrapText="1"/>
    </xf>
    <xf numFmtId="0" fontId="26" fillId="22" borderId="38" xfId="0" applyFont="1" applyFill="1" applyBorder="1" applyAlignment="1" applyProtection="1">
      <alignment horizontal="center" vertical="center" wrapText="1"/>
    </xf>
    <xf numFmtId="0" fontId="26" fillId="22" borderId="18" xfId="0" applyFont="1" applyFill="1" applyBorder="1" applyAlignment="1" applyProtection="1">
      <alignment horizontal="center" vertical="center" wrapText="1"/>
    </xf>
    <xf numFmtId="0" fontId="26" fillId="22" borderId="62" xfId="0" applyFont="1" applyFill="1" applyBorder="1" applyAlignment="1" applyProtection="1">
      <alignment horizontal="center" vertical="center" wrapText="1"/>
    </xf>
    <xf numFmtId="0" fontId="33" fillId="0" borderId="16" xfId="0" applyFont="1" applyFill="1" applyBorder="1" applyAlignment="1" applyProtection="1">
      <alignment horizontal="center" vertical="center" wrapText="1"/>
      <protection locked="0"/>
    </xf>
    <xf numFmtId="0" fontId="33" fillId="0" borderId="17" xfId="0" applyFont="1" applyFill="1" applyBorder="1" applyAlignment="1" applyProtection="1">
      <alignment horizontal="center" vertical="center" wrapText="1"/>
      <protection locked="0"/>
    </xf>
    <xf numFmtId="0" fontId="33" fillId="0" borderId="37" xfId="0" applyFont="1" applyFill="1" applyBorder="1" applyAlignment="1" applyProtection="1">
      <alignment horizontal="center" vertical="center" wrapText="1"/>
      <protection locked="0"/>
    </xf>
    <xf numFmtId="0" fontId="33" fillId="0" borderId="52" xfId="0" applyFont="1" applyFill="1" applyBorder="1" applyAlignment="1" applyProtection="1">
      <alignment horizontal="center" vertical="center" wrapText="1"/>
      <protection locked="0"/>
    </xf>
    <xf numFmtId="0" fontId="33" fillId="0" borderId="53" xfId="0" applyFont="1" applyFill="1" applyBorder="1" applyAlignment="1" applyProtection="1">
      <alignment horizontal="center" vertical="center" wrapText="1"/>
      <protection locked="0"/>
    </xf>
    <xf numFmtId="0" fontId="33" fillId="0" borderId="54" xfId="0" applyFont="1" applyFill="1" applyBorder="1" applyAlignment="1" applyProtection="1">
      <alignment horizontal="center" vertical="center" wrapText="1"/>
      <protection locked="0"/>
    </xf>
    <xf numFmtId="0" fontId="33" fillId="0" borderId="16" xfId="0" applyFont="1" applyBorder="1" applyAlignment="1" applyProtection="1">
      <alignment horizontal="center" vertical="center" wrapText="1"/>
      <protection locked="0"/>
    </xf>
    <xf numFmtId="0" fontId="33" fillId="0" borderId="17" xfId="0" applyFont="1" applyBorder="1" applyAlignment="1" applyProtection="1">
      <alignment horizontal="center" vertical="center" wrapText="1"/>
      <protection locked="0"/>
    </xf>
    <xf numFmtId="0" fontId="33" fillId="0" borderId="37" xfId="0" applyFont="1" applyBorder="1" applyAlignment="1" applyProtection="1">
      <alignment horizontal="center" vertical="center" wrapText="1"/>
      <protection locked="0"/>
    </xf>
    <xf numFmtId="0" fontId="33" fillId="0" borderId="52" xfId="0" applyFont="1" applyBorder="1" applyAlignment="1" applyProtection="1">
      <alignment horizontal="center" vertical="center" wrapText="1"/>
      <protection locked="0"/>
    </xf>
    <xf numFmtId="0" fontId="33" fillId="0" borderId="53" xfId="0" applyFont="1" applyBorder="1" applyAlignment="1" applyProtection="1">
      <alignment horizontal="center" vertical="center" wrapText="1"/>
      <protection locked="0"/>
    </xf>
    <xf numFmtId="0" fontId="33" fillId="0" borderId="54" xfId="0" applyFont="1" applyBorder="1" applyAlignment="1" applyProtection="1">
      <alignment horizontal="center" vertical="center" wrapText="1"/>
      <protection locked="0"/>
    </xf>
    <xf numFmtId="0" fontId="20" fillId="0" borderId="23" xfId="0" applyFont="1" applyBorder="1" applyAlignment="1" applyProtection="1">
      <alignment horizontal="left" vertical="center" wrapText="1"/>
    </xf>
    <xf numFmtId="0" fontId="20" fillId="0" borderId="0" xfId="0" applyFont="1" applyBorder="1" applyAlignment="1" applyProtection="1">
      <alignment horizontal="left" vertical="center" wrapText="1"/>
    </xf>
    <xf numFmtId="0" fontId="66" fillId="0" borderId="29" xfId="0" applyFont="1" applyFill="1" applyBorder="1" applyAlignment="1" applyProtection="1">
      <alignment horizontal="center" vertical="center"/>
      <protection locked="0"/>
    </xf>
    <xf numFmtId="0" fontId="66" fillId="0" borderId="34" xfId="0" applyFont="1" applyFill="1" applyBorder="1" applyAlignment="1" applyProtection="1">
      <alignment horizontal="center" vertical="center"/>
      <protection locked="0"/>
    </xf>
    <xf numFmtId="0" fontId="66" fillId="0" borderId="38" xfId="0" applyFont="1" applyFill="1" applyBorder="1" applyAlignment="1" applyProtection="1">
      <alignment horizontal="center" vertical="center"/>
      <protection locked="0"/>
    </xf>
    <xf numFmtId="0" fontId="66" fillId="0" borderId="31" xfId="0" applyFont="1" applyFill="1" applyBorder="1" applyAlignment="1" applyProtection="1">
      <alignment horizontal="center" vertical="center"/>
      <protection locked="0"/>
    </xf>
    <xf numFmtId="0" fontId="66" fillId="0" borderId="32" xfId="0" applyFont="1" applyFill="1" applyBorder="1" applyAlignment="1" applyProtection="1">
      <alignment horizontal="center" vertical="center"/>
      <protection locked="0"/>
    </xf>
    <xf numFmtId="0" fontId="66" fillId="0" borderId="33" xfId="0" applyFont="1" applyFill="1" applyBorder="1" applyAlignment="1" applyProtection="1">
      <alignment horizontal="center" vertical="center"/>
      <protection locked="0"/>
    </xf>
    <xf numFmtId="0" fontId="19" fillId="14" borderId="29" xfId="0" applyFont="1" applyFill="1" applyBorder="1" applyAlignment="1" applyProtection="1">
      <alignment horizontal="center" vertical="center"/>
    </xf>
    <xf numFmtId="0" fontId="19" fillId="14" borderId="34" xfId="0" applyFont="1" applyFill="1" applyBorder="1" applyAlignment="1" applyProtection="1">
      <alignment horizontal="center" vertical="center"/>
    </xf>
    <xf numFmtId="0" fontId="19" fillId="14" borderId="38" xfId="0" applyFont="1" applyFill="1" applyBorder="1" applyAlignment="1" applyProtection="1">
      <alignment horizontal="center" vertical="center"/>
    </xf>
    <xf numFmtId="0" fontId="19" fillId="14" borderId="31" xfId="0" applyFont="1" applyFill="1" applyBorder="1" applyAlignment="1" applyProtection="1">
      <alignment horizontal="center" vertical="center"/>
    </xf>
    <xf numFmtId="0" fontId="19" fillId="14" borderId="32" xfId="0" applyFont="1" applyFill="1" applyBorder="1" applyAlignment="1" applyProtection="1">
      <alignment horizontal="center" vertical="center"/>
    </xf>
    <xf numFmtId="0" fontId="19" fillId="14" borderId="33" xfId="0" applyFont="1" applyFill="1" applyBorder="1" applyAlignment="1" applyProtection="1">
      <alignment horizontal="center" vertical="center"/>
    </xf>
    <xf numFmtId="0" fontId="19" fillId="0" borderId="52" xfId="0" applyFont="1" applyBorder="1" applyAlignment="1" applyProtection="1">
      <alignment horizontal="left" vertical="center" wrapText="1"/>
      <protection locked="0"/>
    </xf>
    <xf numFmtId="0" fontId="19" fillId="0" borderId="53" xfId="0" applyFont="1" applyBorder="1" applyAlignment="1" applyProtection="1">
      <alignment horizontal="left" vertical="center" wrapText="1"/>
      <protection locked="0"/>
    </xf>
    <xf numFmtId="0" fontId="19" fillId="0" borderId="54" xfId="0" applyFont="1" applyBorder="1" applyAlignment="1" applyProtection="1">
      <alignment horizontal="left" vertical="center" wrapText="1"/>
      <protection locked="0"/>
    </xf>
    <xf numFmtId="0" fontId="31" fillId="0" borderId="23" xfId="0" applyFont="1" applyBorder="1" applyAlignment="1" applyProtection="1">
      <alignment horizontal="center" vertical="center" wrapText="1"/>
      <protection locked="0"/>
    </xf>
    <xf numFmtId="0" fontId="31" fillId="0" borderId="0" xfId="0" applyFont="1" applyBorder="1" applyAlignment="1" applyProtection="1">
      <alignment horizontal="center" vertical="center" wrapText="1"/>
      <protection locked="0"/>
    </xf>
    <xf numFmtId="0" fontId="31" fillId="0" borderId="43" xfId="0" applyFont="1" applyBorder="1" applyAlignment="1" applyProtection="1">
      <alignment horizontal="center" vertical="center" wrapText="1"/>
      <protection locked="0"/>
    </xf>
    <xf numFmtId="0" fontId="39" fillId="23" borderId="34" xfId="0" applyFont="1" applyFill="1" applyBorder="1" applyAlignment="1" applyProtection="1">
      <alignment horizontal="left" wrapText="1"/>
    </xf>
    <xf numFmtId="0" fontId="39" fillId="23" borderId="38" xfId="0" applyFont="1" applyFill="1" applyBorder="1" applyAlignment="1" applyProtection="1">
      <alignment horizontal="left" wrapText="1"/>
    </xf>
    <xf numFmtId="0" fontId="39" fillId="23" borderId="0" xfId="0" applyFont="1" applyFill="1" applyBorder="1" applyAlignment="1" applyProtection="1">
      <alignment horizontal="left" wrapText="1"/>
    </xf>
    <xf numFmtId="0" fontId="39" fillId="23" borderId="15" xfId="0" applyFont="1" applyFill="1" applyBorder="1" applyAlignment="1" applyProtection="1">
      <alignment horizontal="left" wrapText="1"/>
    </xf>
    <xf numFmtId="0" fontId="39" fillId="23" borderId="32" xfId="0" applyFont="1" applyFill="1" applyBorder="1" applyAlignment="1" applyProtection="1">
      <alignment horizontal="left" wrapText="1"/>
    </xf>
    <xf numFmtId="0" fontId="39" fillId="23" borderId="33" xfId="0" applyFont="1" applyFill="1" applyBorder="1" applyAlignment="1" applyProtection="1">
      <alignment horizontal="left" wrapText="1"/>
    </xf>
    <xf numFmtId="0" fontId="3" fillId="0" borderId="30" xfId="0" applyFont="1" applyBorder="1" applyAlignment="1" applyProtection="1">
      <alignment horizontal="left" vertical="top" wrapText="1"/>
    </xf>
    <xf numFmtId="0" fontId="3" fillId="0" borderId="0" xfId="0" applyFont="1" applyAlignment="1" applyProtection="1">
      <alignment horizontal="left" vertical="top" wrapText="1"/>
    </xf>
    <xf numFmtId="0" fontId="3" fillId="0" borderId="0" xfId="0" applyFont="1" applyBorder="1" applyAlignment="1" applyProtection="1">
      <alignment horizontal="left" vertical="top" wrapText="1"/>
    </xf>
    <xf numFmtId="0" fontId="23" fillId="0" borderId="8" xfId="0" applyFont="1" applyFill="1" applyBorder="1" applyAlignment="1" applyProtection="1">
      <alignment horizontal="left" vertical="center"/>
    </xf>
    <xf numFmtId="0" fontId="23" fillId="0" borderId="42" xfId="0" applyFont="1" applyFill="1" applyBorder="1" applyAlignment="1" applyProtection="1">
      <alignment horizontal="left" vertical="center"/>
    </xf>
    <xf numFmtId="0" fontId="23" fillId="0" borderId="58" xfId="0" applyFont="1" applyFill="1" applyBorder="1" applyAlignment="1" applyProtection="1">
      <alignment horizontal="left" vertical="center"/>
      <protection locked="0"/>
    </xf>
    <xf numFmtId="0" fontId="23" fillId="0" borderId="59" xfId="0" applyFont="1" applyFill="1" applyBorder="1" applyAlignment="1" applyProtection="1">
      <alignment horizontal="left" vertical="center"/>
      <protection locked="0"/>
    </xf>
    <xf numFmtId="0" fontId="23" fillId="0" borderId="35" xfId="0" applyFont="1" applyFill="1" applyBorder="1" applyAlignment="1" applyProtection="1">
      <alignment horizontal="left" vertical="center"/>
      <protection locked="0"/>
    </xf>
    <xf numFmtId="0" fontId="21" fillId="0" borderId="16" xfId="0" applyFont="1" applyFill="1" applyBorder="1" applyAlignment="1" applyProtection="1">
      <alignment horizontal="left" vertical="center" wrapText="1"/>
    </xf>
    <xf numFmtId="0" fontId="21" fillId="0" borderId="17" xfId="0" applyFont="1" applyFill="1" applyBorder="1" applyAlignment="1" applyProtection="1">
      <alignment horizontal="left" vertical="center" wrapText="1"/>
    </xf>
    <xf numFmtId="0" fontId="21" fillId="0" borderId="37" xfId="0" applyFont="1" applyFill="1" applyBorder="1" applyAlignment="1" applyProtection="1">
      <alignment horizontal="left" vertical="center" wrapText="1"/>
    </xf>
    <xf numFmtId="0" fontId="19" fillId="13" borderId="58" xfId="0" applyFont="1" applyFill="1" applyBorder="1" applyAlignment="1" applyProtection="1">
      <alignment horizontal="left" vertical="center"/>
    </xf>
    <xf numFmtId="0" fontId="19" fillId="13" borderId="59" xfId="0" applyFont="1" applyFill="1" applyBorder="1" applyAlignment="1" applyProtection="1">
      <alignment horizontal="left" vertical="center"/>
    </xf>
    <xf numFmtId="0" fontId="19" fillId="44" borderId="0" xfId="0" applyFont="1" applyFill="1" applyBorder="1" applyAlignment="1" applyProtection="1">
      <alignment horizontal="left" vertical="center"/>
    </xf>
    <xf numFmtId="0" fontId="0" fillId="10" borderId="0" xfId="0" applyFill="1" applyBorder="1" applyAlignment="1" applyProtection="1">
      <alignment horizontal="center" vertical="center"/>
    </xf>
    <xf numFmtId="0" fontId="19" fillId="20" borderId="58" xfId="0" applyFont="1" applyFill="1" applyBorder="1" applyAlignment="1" applyProtection="1">
      <alignment horizontal="left" vertical="center"/>
    </xf>
    <xf numFmtId="0" fontId="19" fillId="20" borderId="59" xfId="0" applyFont="1" applyFill="1" applyBorder="1" applyAlignment="1" applyProtection="1">
      <alignment horizontal="left" vertical="center"/>
    </xf>
    <xf numFmtId="0" fontId="59" fillId="0" borderId="29" xfId="0" applyFont="1" applyFill="1" applyBorder="1" applyAlignment="1" applyProtection="1">
      <alignment horizontal="center" vertical="center" wrapText="1"/>
      <protection locked="0"/>
    </xf>
    <xf numFmtId="0" fontId="59" fillId="0" borderId="34" xfId="0" applyFont="1" applyFill="1" applyBorder="1" applyAlignment="1" applyProtection="1">
      <alignment horizontal="center" vertical="center" wrapText="1"/>
      <protection locked="0"/>
    </xf>
    <xf numFmtId="0" fontId="59" fillId="0" borderId="38" xfId="0" applyFont="1" applyFill="1" applyBorder="1" applyAlignment="1" applyProtection="1">
      <alignment horizontal="center" vertical="center" wrapText="1"/>
      <protection locked="0"/>
    </xf>
    <xf numFmtId="0" fontId="59" fillId="0" borderId="31" xfId="0" applyFont="1" applyFill="1" applyBorder="1" applyAlignment="1" applyProtection="1">
      <alignment horizontal="center" vertical="center" wrapText="1"/>
      <protection locked="0"/>
    </xf>
    <xf numFmtId="0" fontId="59" fillId="0" borderId="32" xfId="0" applyFont="1" applyFill="1" applyBorder="1" applyAlignment="1" applyProtection="1">
      <alignment horizontal="center" vertical="center" wrapText="1"/>
      <protection locked="0"/>
    </xf>
    <xf numFmtId="0" fontId="59" fillId="0" borderId="33" xfId="0" applyFont="1" applyFill="1" applyBorder="1" applyAlignment="1" applyProtection="1">
      <alignment horizontal="center" vertical="center" wrapText="1"/>
      <protection locked="0"/>
    </xf>
    <xf numFmtId="0" fontId="0" fillId="25" borderId="73" xfId="0" applyFill="1" applyBorder="1" applyAlignment="1" applyProtection="1">
      <alignment horizontal="center"/>
    </xf>
    <xf numFmtId="0" fontId="0" fillId="25" borderId="74" xfId="0" applyFill="1" applyBorder="1" applyAlignment="1" applyProtection="1">
      <alignment horizontal="center"/>
    </xf>
    <xf numFmtId="44" fontId="0" fillId="0" borderId="75" xfId="0" applyNumberFormat="1" applyBorder="1" applyAlignment="1" applyProtection="1">
      <alignment horizontal="center"/>
    </xf>
    <xf numFmtId="0" fontId="0" fillId="0" borderId="12" xfId="0" applyBorder="1" applyAlignment="1" applyProtection="1">
      <alignment horizontal="center"/>
    </xf>
    <xf numFmtId="44" fontId="0" fillId="0" borderId="76" xfId="0" applyNumberFormat="1" applyBorder="1" applyAlignment="1" applyProtection="1">
      <alignment horizontal="center"/>
    </xf>
    <xf numFmtId="0" fontId="0" fillId="0" borderId="4" xfId="0" applyBorder="1" applyAlignment="1" applyProtection="1">
      <alignment horizontal="center"/>
    </xf>
    <xf numFmtId="44" fontId="0" fillId="0" borderId="77" xfId="0" applyNumberFormat="1" applyBorder="1" applyAlignment="1" applyProtection="1">
      <alignment horizontal="center"/>
    </xf>
    <xf numFmtId="0" fontId="0" fillId="0" borderId="44" xfId="0" applyBorder="1" applyAlignment="1" applyProtection="1">
      <alignment horizontal="center"/>
    </xf>
    <xf numFmtId="44" fontId="0" fillId="0" borderId="45" xfId="0" applyNumberFormat="1" applyBorder="1" applyAlignment="1" applyProtection="1">
      <alignment horizontal="center"/>
    </xf>
    <xf numFmtId="44" fontId="0" fillId="0" borderId="5" xfId="0" applyNumberFormat="1" applyBorder="1" applyAlignment="1" applyProtection="1">
      <alignment horizontal="center"/>
    </xf>
    <xf numFmtId="44" fontId="0" fillId="0" borderId="78" xfId="0" applyNumberFormat="1" applyBorder="1" applyAlignment="1" applyProtection="1">
      <alignment horizontal="center"/>
    </xf>
    <xf numFmtId="0" fontId="0" fillId="25" borderId="79" xfId="0" applyFill="1" applyBorder="1" applyAlignment="1" applyProtection="1">
      <alignment horizontal="center"/>
    </xf>
    <xf numFmtId="0" fontId="0" fillId="9" borderId="70" xfId="0" applyFill="1" applyBorder="1" applyAlignment="1" applyProtection="1">
      <alignment horizontal="center" vertical="center"/>
    </xf>
    <xf numFmtId="0" fontId="0" fillId="9" borderId="35" xfId="0" applyFill="1" applyBorder="1" applyAlignment="1" applyProtection="1">
      <alignment horizontal="center" vertical="center"/>
    </xf>
    <xf numFmtId="0" fontId="0" fillId="8" borderId="71" xfId="0" applyFill="1" applyBorder="1" applyAlignment="1" applyProtection="1">
      <alignment horizontal="center"/>
    </xf>
    <xf numFmtId="0" fontId="0" fillId="8" borderId="72" xfId="0" applyFill="1" applyBorder="1" applyAlignment="1" applyProtection="1">
      <alignment horizontal="center"/>
    </xf>
    <xf numFmtId="166" fontId="5" fillId="38" borderId="46" xfId="0" applyNumberFormat="1" applyFont="1" applyFill="1" applyBorder="1" applyAlignment="1" applyProtection="1">
      <alignment horizontal="center" vertical="center" wrapText="1"/>
    </xf>
    <xf numFmtId="166" fontId="5" fillId="38" borderId="47" xfId="0" applyNumberFormat="1" applyFont="1" applyFill="1" applyBorder="1" applyAlignment="1" applyProtection="1">
      <alignment horizontal="center" vertical="center" wrapText="1"/>
    </xf>
    <xf numFmtId="166" fontId="5" fillId="38" borderId="36" xfId="0" applyNumberFormat="1" applyFont="1" applyFill="1" applyBorder="1" applyAlignment="1" applyProtection="1">
      <alignment horizontal="center" vertical="center" wrapText="1"/>
    </xf>
    <xf numFmtId="14" fontId="60" fillId="0" borderId="4" xfId="0" applyNumberFormat="1" applyFont="1" applyFill="1" applyBorder="1" applyAlignment="1" applyProtection="1">
      <alignment horizontal="center" vertical="center" wrapText="1"/>
      <protection locked="0"/>
    </xf>
    <xf numFmtId="0" fontId="20" fillId="22" borderId="0" xfId="0" applyFont="1" applyFill="1" applyAlignment="1" applyProtection="1">
      <alignment horizontal="left" vertical="top" wrapText="1"/>
    </xf>
    <xf numFmtId="0" fontId="20" fillId="0" borderId="0" xfId="0" applyFont="1" applyAlignment="1" applyProtection="1">
      <alignment horizontal="left" vertical="top" wrapText="1"/>
    </xf>
    <xf numFmtId="0" fontId="20" fillId="0" borderId="30" xfId="0" applyFont="1" applyBorder="1" applyAlignment="1" applyProtection="1">
      <alignment horizontal="left" vertical="top" wrapText="1"/>
    </xf>
    <xf numFmtId="0" fontId="20" fillId="0" borderId="0" xfId="0" applyFont="1" applyBorder="1" applyAlignment="1" applyProtection="1">
      <alignment horizontal="left" vertical="top" wrapText="1"/>
    </xf>
    <xf numFmtId="0" fontId="21" fillId="22" borderId="1" xfId="0" applyFont="1" applyFill="1" applyBorder="1" applyAlignment="1" applyProtection="1">
      <alignment horizontal="left"/>
    </xf>
    <xf numFmtId="0" fontId="21" fillId="22" borderId="34" xfId="0" applyFont="1" applyFill="1" applyBorder="1" applyAlignment="1" applyProtection="1">
      <alignment horizontal="left"/>
    </xf>
    <xf numFmtId="0" fontId="20" fillId="0" borderId="17" xfId="0" applyFont="1" applyBorder="1" applyAlignment="1" applyProtection="1">
      <alignment horizontal="left" vertical="center" wrapText="1"/>
    </xf>
    <xf numFmtId="0" fontId="20" fillId="0" borderId="37" xfId="0" applyFont="1" applyBorder="1" applyAlignment="1" applyProtection="1">
      <alignment horizontal="left" vertical="center" wrapText="1"/>
    </xf>
    <xf numFmtId="0" fontId="20" fillId="0" borderId="19" xfId="0" applyFont="1" applyBorder="1" applyAlignment="1" applyProtection="1">
      <alignment horizontal="left" vertical="center" wrapText="1"/>
    </xf>
    <xf numFmtId="0" fontId="20" fillId="0" borderId="25" xfId="0" applyFont="1" applyBorder="1" applyAlignment="1" applyProtection="1">
      <alignment horizontal="left" vertical="center" wrapText="1"/>
    </xf>
    <xf numFmtId="0" fontId="33" fillId="42" borderId="8" xfId="0" applyFont="1" applyFill="1" applyBorder="1" applyAlignment="1" applyProtection="1">
      <alignment horizontal="center" vertical="center" wrapText="1"/>
    </xf>
    <xf numFmtId="0" fontId="33" fillId="42" borderId="42" xfId="0" applyFont="1" applyFill="1" applyBorder="1" applyAlignment="1" applyProtection="1">
      <alignment horizontal="center" vertical="center" wrapText="1"/>
    </xf>
    <xf numFmtId="0" fontId="33" fillId="42" borderId="67" xfId="0" applyFont="1" applyFill="1" applyBorder="1" applyAlignment="1" applyProtection="1">
      <alignment horizontal="center" vertical="center" wrapText="1"/>
    </xf>
    <xf numFmtId="0" fontId="63" fillId="43" borderId="17" xfId="0" applyFont="1" applyFill="1" applyBorder="1" applyAlignment="1" applyProtection="1">
      <alignment horizontal="left" vertical="center"/>
      <protection locked="0"/>
    </xf>
    <xf numFmtId="0" fontId="63" fillId="43" borderId="19" xfId="0" applyFont="1" applyFill="1" applyBorder="1" applyAlignment="1" applyProtection="1">
      <alignment horizontal="left" vertical="center"/>
      <protection locked="0"/>
    </xf>
    <xf numFmtId="0" fontId="65" fillId="43" borderId="68" xfId="0" applyFont="1" applyFill="1" applyBorder="1" applyAlignment="1" applyProtection="1">
      <alignment horizontal="center" vertical="center"/>
      <protection locked="0"/>
    </xf>
    <xf numFmtId="0" fontId="65" fillId="43" borderId="69" xfId="0" applyFont="1" applyFill="1" applyBorder="1" applyAlignment="1" applyProtection="1">
      <alignment horizontal="center" vertical="center"/>
      <protection locked="0"/>
    </xf>
    <xf numFmtId="0" fontId="1" fillId="0" borderId="19" xfId="0" applyFont="1" applyBorder="1" applyAlignment="1" applyProtection="1">
      <alignment horizontal="center" vertical="center" wrapText="1"/>
    </xf>
    <xf numFmtId="14" fontId="16" fillId="0" borderId="17" xfId="0" applyNumberFormat="1" applyFont="1" applyBorder="1" applyAlignment="1" applyProtection="1">
      <alignment horizontal="left" vertical="top" wrapText="1"/>
    </xf>
    <xf numFmtId="0" fontId="16" fillId="0" borderId="17" xfId="0" applyFont="1" applyBorder="1" applyAlignment="1" applyProtection="1">
      <alignment horizontal="left" vertical="top" wrapText="1"/>
    </xf>
    <xf numFmtId="0" fontId="62" fillId="0" borderId="16" xfId="0" applyFont="1" applyFill="1" applyBorder="1" applyAlignment="1" applyProtection="1">
      <alignment horizontal="left" vertical="center" wrapText="1"/>
    </xf>
    <xf numFmtId="0" fontId="62" fillId="0" borderId="17" xfId="0" applyFont="1" applyFill="1" applyBorder="1" applyAlignment="1" applyProtection="1">
      <alignment horizontal="left" vertical="center" wrapText="1"/>
    </xf>
    <xf numFmtId="0" fontId="62" fillId="0" borderId="37" xfId="0" applyFont="1" applyFill="1" applyBorder="1" applyAlignment="1" applyProtection="1">
      <alignment horizontal="left" vertical="center" wrapText="1"/>
    </xf>
    <xf numFmtId="0" fontId="63" fillId="0" borderId="23" xfId="0" applyFont="1" applyFill="1" applyBorder="1" applyAlignment="1" applyProtection="1">
      <alignment horizontal="left" vertical="center" wrapText="1"/>
      <protection locked="0"/>
    </xf>
    <xf numFmtId="0" fontId="64" fillId="0" borderId="0" xfId="0" applyFont="1" applyFill="1" applyBorder="1" applyAlignment="1" applyProtection="1">
      <alignment horizontal="left" vertical="center" wrapText="1"/>
      <protection locked="0"/>
    </xf>
    <xf numFmtId="0" fontId="64" fillId="0" borderId="43" xfId="0" applyFont="1" applyFill="1" applyBorder="1" applyAlignment="1" applyProtection="1">
      <alignment horizontal="left" vertical="center" wrapText="1"/>
      <protection locked="0"/>
    </xf>
    <xf numFmtId="0" fontId="64" fillId="0" borderId="18" xfId="0" applyFont="1" applyFill="1" applyBorder="1" applyAlignment="1" applyProtection="1">
      <alignment horizontal="left" vertical="center" wrapText="1"/>
      <protection locked="0"/>
    </xf>
    <xf numFmtId="0" fontId="64" fillId="0" borderId="19" xfId="0" applyFont="1" applyFill="1" applyBorder="1" applyAlignment="1" applyProtection="1">
      <alignment horizontal="left" vertical="center" wrapText="1"/>
      <protection locked="0"/>
    </xf>
    <xf numFmtId="0" fontId="64" fillId="0" borderId="25" xfId="0" applyFont="1" applyFill="1" applyBorder="1" applyAlignment="1" applyProtection="1">
      <alignment horizontal="left" vertical="center" wrapText="1"/>
      <protection locked="0"/>
    </xf>
    <xf numFmtId="0" fontId="31" fillId="0" borderId="18" xfId="0" applyFont="1" applyBorder="1" applyAlignment="1" applyProtection="1">
      <alignment horizontal="center" vertical="center" wrapText="1"/>
      <protection locked="0"/>
    </xf>
    <xf numFmtId="0" fontId="31" fillId="0" borderId="19" xfId="0" applyFont="1" applyBorder="1" applyAlignment="1" applyProtection="1">
      <alignment horizontal="center" vertical="center" wrapText="1"/>
      <protection locked="0"/>
    </xf>
    <xf numFmtId="0" fontId="31" fillId="0" borderId="25" xfId="0" applyFont="1" applyBorder="1" applyAlignment="1" applyProtection="1">
      <alignment horizontal="center" vertical="center" wrapText="1"/>
      <protection locked="0"/>
    </xf>
    <xf numFmtId="0" fontId="21" fillId="0" borderId="8" xfId="0" applyFont="1" applyBorder="1" applyAlignment="1" applyProtection="1">
      <alignment horizontal="left" vertical="center" wrapText="1"/>
    </xf>
    <xf numFmtId="0" fontId="21" fillId="0" borderId="42" xfId="0" applyFont="1" applyBorder="1" applyAlignment="1" applyProtection="1">
      <alignment horizontal="left" vertical="center" wrapText="1"/>
    </xf>
    <xf numFmtId="14" fontId="23" fillId="0" borderId="42" xfId="0" applyNumberFormat="1" applyFont="1" applyBorder="1" applyAlignment="1" applyProtection="1">
      <alignment horizontal="left" vertical="center" wrapText="1"/>
      <protection locked="0"/>
    </xf>
    <xf numFmtId="14" fontId="23" fillId="0" borderId="67" xfId="0" applyNumberFormat="1" applyFont="1" applyBorder="1" applyAlignment="1" applyProtection="1">
      <alignment horizontal="left" vertical="center" wrapText="1"/>
      <protection locked="0"/>
    </xf>
    <xf numFmtId="0" fontId="20" fillId="0" borderId="42" xfId="0" applyFont="1" applyFill="1" applyBorder="1" applyAlignment="1" applyProtection="1">
      <alignment horizontal="left" vertical="center"/>
      <protection locked="0"/>
    </xf>
    <xf numFmtId="0" fontId="20" fillId="0" borderId="67" xfId="0" applyFont="1" applyFill="1" applyBorder="1" applyAlignment="1" applyProtection="1">
      <alignment horizontal="left" vertical="center"/>
      <protection locked="0"/>
    </xf>
    <xf numFmtId="166" fontId="61" fillId="0" borderId="65" xfId="0" applyNumberFormat="1" applyFont="1" applyFill="1" applyBorder="1" applyAlignment="1" applyProtection="1">
      <alignment horizontal="left" vertical="top" wrapText="1"/>
      <protection locked="0"/>
    </xf>
    <xf numFmtId="166" fontId="53" fillId="0" borderId="65" xfId="0" applyNumberFormat="1" applyFont="1" applyFill="1" applyBorder="1" applyAlignment="1" applyProtection="1">
      <alignment horizontal="left" vertical="top" wrapText="1"/>
      <protection locked="0"/>
    </xf>
    <xf numFmtId="0" fontId="54" fillId="0" borderId="65" xfId="0" applyFont="1" applyBorder="1" applyAlignment="1" applyProtection="1">
      <alignment horizontal="left" vertical="top"/>
      <protection locked="0"/>
    </xf>
    <xf numFmtId="0" fontId="54" fillId="0" borderId="4" xfId="0" applyFont="1" applyBorder="1" applyAlignment="1" applyProtection="1">
      <alignment horizontal="left" vertical="top"/>
      <protection locked="0"/>
    </xf>
    <xf numFmtId="166" fontId="35" fillId="18" borderId="65" xfId="0" applyNumberFormat="1" applyFont="1" applyFill="1" applyBorder="1" applyAlignment="1" applyProtection="1">
      <alignment horizontal="center" vertical="center" wrapText="1"/>
    </xf>
    <xf numFmtId="166" fontId="35" fillId="18" borderId="66" xfId="0" applyNumberFormat="1" applyFont="1" applyFill="1" applyBorder="1" applyAlignment="1" applyProtection="1">
      <alignment horizontal="center" vertical="center" wrapText="1"/>
    </xf>
    <xf numFmtId="0" fontId="60" fillId="0" borderId="4" xfId="0" applyFont="1" applyBorder="1" applyProtection="1">
      <protection locked="0"/>
    </xf>
    <xf numFmtId="166" fontId="53" fillId="0" borderId="4" xfId="0" applyNumberFormat="1" applyFont="1" applyFill="1" applyBorder="1" applyAlignment="1" applyProtection="1">
      <alignment horizontal="center" vertical="center" wrapText="1"/>
      <protection locked="0"/>
    </xf>
    <xf numFmtId="44" fontId="54" fillId="0" borderId="4" xfId="1" applyFont="1" applyBorder="1" applyAlignment="1" applyProtection="1">
      <alignment horizontal="center" vertical="center"/>
      <protection locked="0"/>
    </xf>
    <xf numFmtId="44" fontId="54" fillId="0" borderId="5" xfId="1" applyFont="1" applyBorder="1" applyAlignment="1" applyProtection="1">
      <alignment horizontal="center" vertical="center"/>
      <protection locked="0"/>
    </xf>
    <xf numFmtId="0" fontId="39" fillId="23" borderId="34" xfId="0" applyFont="1" applyFill="1" applyBorder="1" applyAlignment="1" applyProtection="1">
      <alignment horizontal="left" vertical="top" wrapText="1"/>
    </xf>
    <xf numFmtId="0" fontId="39" fillId="23" borderId="34" xfId="0" applyFont="1" applyFill="1" applyBorder="1" applyAlignment="1" applyProtection="1">
      <alignment horizontal="left" vertical="top"/>
    </xf>
    <xf numFmtId="0" fontId="39" fillId="23" borderId="38" xfId="0" applyFont="1" applyFill="1" applyBorder="1" applyAlignment="1" applyProtection="1">
      <alignment horizontal="left" vertical="top"/>
    </xf>
    <xf numFmtId="0" fontId="39" fillId="23" borderId="0" xfId="0" applyFont="1" applyFill="1" applyBorder="1" applyAlignment="1" applyProtection="1">
      <alignment horizontal="left" vertical="top"/>
    </xf>
    <xf numFmtId="0" fontId="39" fillId="23" borderId="15" xfId="0" applyFont="1" applyFill="1" applyBorder="1" applyAlignment="1" applyProtection="1">
      <alignment horizontal="left" vertical="top"/>
    </xf>
    <xf numFmtId="0" fontId="39" fillId="23" borderId="32" xfId="0" applyFont="1" applyFill="1" applyBorder="1" applyAlignment="1" applyProtection="1">
      <alignment horizontal="left" vertical="top"/>
    </xf>
    <xf numFmtId="0" fontId="39" fillId="23" borderId="33" xfId="0" applyFont="1" applyFill="1" applyBorder="1" applyAlignment="1" applyProtection="1">
      <alignment horizontal="left" vertical="top"/>
    </xf>
    <xf numFmtId="166" fontId="53" fillId="0" borderId="4" xfId="0" applyNumberFormat="1" applyFont="1" applyFill="1" applyBorder="1" applyAlignment="1" applyProtection="1">
      <alignment horizontal="left" vertical="center" wrapText="1"/>
      <protection locked="0"/>
    </xf>
    <xf numFmtId="166" fontId="53" fillId="0" borderId="44" xfId="0" applyNumberFormat="1" applyFont="1" applyFill="1" applyBorder="1" applyAlignment="1" applyProtection="1">
      <alignment horizontal="left" vertical="center" wrapText="1"/>
      <protection locked="0"/>
    </xf>
    <xf numFmtId="166" fontId="35" fillId="18" borderId="4" xfId="0" applyNumberFormat="1" applyFont="1" applyFill="1" applyBorder="1" applyAlignment="1" applyProtection="1">
      <alignment horizontal="right" vertical="center" wrapText="1"/>
    </xf>
    <xf numFmtId="166" fontId="35" fillId="18" borderId="44" xfId="0" applyNumberFormat="1" applyFont="1" applyFill="1" applyBorder="1" applyAlignment="1" applyProtection="1">
      <alignment horizontal="right" vertical="center" wrapText="1"/>
    </xf>
    <xf numFmtId="44" fontId="37" fillId="0" borderId="4" xfId="1" applyFont="1" applyFill="1" applyBorder="1" applyAlignment="1" applyProtection="1">
      <alignment horizontal="center" vertical="center" wrapText="1"/>
    </xf>
    <xf numFmtId="44" fontId="37" fillId="0" borderId="5" xfId="1" applyFont="1" applyFill="1" applyBorder="1" applyAlignment="1" applyProtection="1">
      <alignment horizontal="center" vertical="center" wrapText="1"/>
    </xf>
    <xf numFmtId="44" fontId="37" fillId="0" borderId="44" xfId="1" applyFont="1" applyFill="1" applyBorder="1" applyAlignment="1" applyProtection="1">
      <alignment horizontal="center" vertical="center" wrapText="1"/>
    </xf>
    <xf numFmtId="44" fontId="37" fillId="0" borderId="45" xfId="1" applyFont="1" applyFill="1" applyBorder="1" applyAlignment="1" applyProtection="1">
      <alignment horizontal="center" vertical="center" wrapText="1"/>
    </xf>
    <xf numFmtId="166" fontId="53" fillId="0" borderId="4" xfId="0" applyNumberFormat="1" applyFont="1" applyFill="1" applyBorder="1" applyAlignment="1" applyProtection="1">
      <alignment horizontal="left" vertical="top" wrapText="1"/>
      <protection locked="0"/>
    </xf>
    <xf numFmtId="166" fontId="5" fillId="38" borderId="65" xfId="0" applyNumberFormat="1" applyFont="1" applyFill="1" applyBorder="1" applyAlignment="1" applyProtection="1">
      <alignment horizontal="center" vertical="center" wrapText="1"/>
    </xf>
    <xf numFmtId="166" fontId="5" fillId="38" borderId="4" xfId="0" applyNumberFormat="1" applyFont="1" applyFill="1" applyBorder="1" applyAlignment="1" applyProtection="1">
      <alignment horizontal="right" vertical="center" wrapText="1"/>
    </xf>
    <xf numFmtId="166" fontId="5" fillId="38" borderId="44" xfId="0" applyNumberFormat="1" applyFont="1" applyFill="1" applyBorder="1" applyAlignment="1" applyProtection="1">
      <alignment horizontal="right" vertical="center" wrapText="1"/>
    </xf>
    <xf numFmtId="166" fontId="56" fillId="0" borderId="4" xfId="0" applyNumberFormat="1" applyFont="1" applyFill="1" applyBorder="1" applyAlignment="1" applyProtection="1">
      <alignment horizontal="left" vertical="center" wrapText="1"/>
      <protection locked="0"/>
    </xf>
    <xf numFmtId="166" fontId="56" fillId="0" borderId="44" xfId="0" applyNumberFormat="1" applyFont="1" applyFill="1" applyBorder="1" applyAlignment="1" applyProtection="1">
      <alignment horizontal="left" vertical="center" wrapText="1"/>
      <protection locked="0"/>
    </xf>
    <xf numFmtId="0" fontId="49" fillId="0" borderId="0" xfId="0" applyFont="1" applyFill="1" applyBorder="1" applyAlignment="1" applyProtection="1">
      <alignment horizontal="center" vertical="center" wrapText="1"/>
    </xf>
    <xf numFmtId="0" fontId="8" fillId="0" borderId="8" xfId="0" applyFont="1" applyBorder="1" applyAlignment="1" applyProtection="1">
      <alignment horizontal="right" vertical="center" wrapText="1"/>
    </xf>
    <xf numFmtId="0" fontId="8" fillId="0" borderId="42" xfId="0" applyFont="1" applyBorder="1" applyAlignment="1" applyProtection="1">
      <alignment horizontal="right" vertical="center" wrapText="1"/>
    </xf>
    <xf numFmtId="44" fontId="50" fillId="0" borderId="19" xfId="0" applyNumberFormat="1" applyFont="1" applyBorder="1" applyAlignment="1" applyProtection="1">
      <alignment horizontal="center" vertical="center" wrapText="1"/>
    </xf>
    <xf numFmtId="44" fontId="50" fillId="0" borderId="25" xfId="0" applyNumberFormat="1" applyFont="1" applyBorder="1" applyAlignment="1" applyProtection="1">
      <alignment horizontal="center" vertical="center" wrapText="1"/>
    </xf>
    <xf numFmtId="14" fontId="47" fillId="0" borderId="16" xfId="0" applyNumberFormat="1" applyFont="1" applyFill="1" applyBorder="1" applyAlignment="1" applyProtection="1">
      <alignment horizontal="center" vertical="center" textRotation="90"/>
      <protection locked="0"/>
    </xf>
    <xf numFmtId="0" fontId="47" fillId="0" borderId="17" xfId="0" applyFont="1" applyFill="1" applyBorder="1" applyAlignment="1" applyProtection="1">
      <alignment horizontal="center" vertical="center" textRotation="90"/>
      <protection locked="0"/>
    </xf>
    <xf numFmtId="0" fontId="47" fillId="0" borderId="37" xfId="0" applyFont="1" applyFill="1" applyBorder="1" applyAlignment="1" applyProtection="1">
      <alignment horizontal="center" vertical="center" textRotation="90"/>
      <protection locked="0"/>
    </xf>
    <xf numFmtId="0" fontId="47" fillId="0" borderId="23" xfId="0" applyFont="1" applyFill="1" applyBorder="1" applyAlignment="1" applyProtection="1">
      <alignment horizontal="center" vertical="center" textRotation="90"/>
      <protection locked="0"/>
    </xf>
    <xf numFmtId="0" fontId="47" fillId="0" borderId="0" xfId="0" applyFont="1" applyFill="1" applyBorder="1" applyAlignment="1" applyProtection="1">
      <alignment horizontal="center" vertical="center" textRotation="90"/>
      <protection locked="0"/>
    </xf>
    <xf numFmtId="0" fontId="47" fillId="0" borderId="43" xfId="0" applyFont="1" applyFill="1" applyBorder="1" applyAlignment="1" applyProtection="1">
      <alignment horizontal="center" vertical="center" textRotation="90"/>
      <protection locked="0"/>
    </xf>
    <xf numFmtId="0" fontId="47" fillId="0" borderId="18" xfId="0" applyFont="1" applyFill="1" applyBorder="1" applyAlignment="1" applyProtection="1">
      <alignment horizontal="center" vertical="center" textRotation="90"/>
      <protection locked="0"/>
    </xf>
    <xf numFmtId="0" fontId="47" fillId="0" borderId="19" xfId="0" applyFont="1" applyFill="1" applyBorder="1" applyAlignment="1" applyProtection="1">
      <alignment horizontal="center" vertical="center" textRotation="90"/>
      <protection locked="0"/>
    </xf>
    <xf numFmtId="0" fontId="47" fillId="0" borderId="25" xfId="0" applyFont="1" applyFill="1" applyBorder="1" applyAlignment="1" applyProtection="1">
      <alignment horizontal="center" vertical="center" textRotation="90"/>
      <protection locked="0"/>
    </xf>
    <xf numFmtId="0" fontId="47" fillId="16" borderId="16" xfId="0" applyFont="1" applyFill="1" applyBorder="1" applyAlignment="1" applyProtection="1">
      <alignment horizontal="center" vertical="center" textRotation="90"/>
    </xf>
    <xf numFmtId="0" fontId="47" fillId="16" borderId="37" xfId="0" applyFont="1" applyFill="1" applyBorder="1" applyAlignment="1" applyProtection="1">
      <alignment horizontal="center" vertical="center" textRotation="90"/>
    </xf>
    <xf numFmtId="0" fontId="47" fillId="16" borderId="23" xfId="0" applyFont="1" applyFill="1" applyBorder="1" applyAlignment="1" applyProtection="1">
      <alignment horizontal="center" vertical="center" textRotation="90"/>
    </xf>
    <xf numFmtId="0" fontId="47" fillId="16" borderId="43" xfId="0" applyFont="1" applyFill="1" applyBorder="1" applyAlignment="1" applyProtection="1">
      <alignment horizontal="center" vertical="center" textRotation="90"/>
    </xf>
    <xf numFmtId="0" fontId="47" fillId="16" borderId="18" xfId="0" applyFont="1" applyFill="1" applyBorder="1" applyAlignment="1" applyProtection="1">
      <alignment horizontal="center" vertical="center" textRotation="90"/>
    </xf>
    <xf numFmtId="0" fontId="47" fillId="16" borderId="25" xfId="0" applyFont="1" applyFill="1" applyBorder="1" applyAlignment="1" applyProtection="1">
      <alignment horizontal="center" vertical="center" textRotation="90"/>
    </xf>
    <xf numFmtId="14" fontId="25" fillId="0" borderId="29" xfId="0" applyNumberFormat="1" applyFont="1" applyBorder="1" applyAlignment="1" applyProtection="1">
      <alignment horizontal="center" vertical="center"/>
      <protection locked="0"/>
    </xf>
    <xf numFmtId="0" fontId="25" fillId="0" borderId="38" xfId="0" applyFont="1" applyBorder="1" applyAlignment="1" applyProtection="1">
      <alignment horizontal="center" vertical="center"/>
      <protection locked="0"/>
    </xf>
    <xf numFmtId="0" fontId="25" fillId="0" borderId="31" xfId="0" applyFont="1" applyBorder="1" applyAlignment="1" applyProtection="1">
      <alignment horizontal="center" vertical="center"/>
      <protection locked="0"/>
    </xf>
    <xf numFmtId="0" fontId="25" fillId="0" borderId="33" xfId="0" applyFont="1" applyBorder="1" applyAlignment="1" applyProtection="1">
      <alignment horizontal="center" vertical="center"/>
      <protection locked="0"/>
    </xf>
    <xf numFmtId="0" fontId="26" fillId="0" borderId="23" xfId="0" applyFont="1" applyFill="1" applyBorder="1" applyAlignment="1" applyProtection="1">
      <alignment horizontal="left" vertical="top" wrapText="1"/>
      <protection locked="0"/>
    </xf>
    <xf numFmtId="0" fontId="26" fillId="0" borderId="0" xfId="0" applyFont="1" applyFill="1" applyBorder="1" applyAlignment="1" applyProtection="1">
      <alignment horizontal="left" vertical="top" wrapText="1"/>
      <protection locked="0"/>
    </xf>
    <xf numFmtId="0" fontId="26" fillId="0" borderId="43" xfId="0" applyFont="1" applyFill="1" applyBorder="1" applyAlignment="1" applyProtection="1">
      <alignment horizontal="left" vertical="top" wrapText="1"/>
      <protection locked="0"/>
    </xf>
    <xf numFmtId="0" fontId="26" fillId="0" borderId="52" xfId="0" applyFont="1" applyFill="1" applyBorder="1" applyAlignment="1" applyProtection="1">
      <alignment horizontal="left" vertical="top" wrapText="1"/>
      <protection locked="0"/>
    </xf>
    <xf numFmtId="0" fontId="26" fillId="0" borderId="53" xfId="0" applyFont="1" applyFill="1" applyBorder="1" applyAlignment="1" applyProtection="1">
      <alignment horizontal="left" vertical="top" wrapText="1"/>
      <protection locked="0"/>
    </xf>
    <xf numFmtId="0" fontId="26" fillId="0" borderId="54" xfId="0" applyFont="1" applyFill="1" applyBorder="1" applyAlignment="1" applyProtection="1">
      <alignment horizontal="left" vertical="top" wrapText="1"/>
      <protection locked="0"/>
    </xf>
    <xf numFmtId="0" fontId="26" fillId="0" borderId="55" xfId="0" applyFont="1" applyFill="1" applyBorder="1" applyAlignment="1" applyProtection="1">
      <alignment horizontal="left" vertical="top" wrapText="1"/>
      <protection locked="0"/>
    </xf>
    <xf numFmtId="0" fontId="26" fillId="0" borderId="56" xfId="0" applyFont="1" applyFill="1" applyBorder="1" applyAlignment="1" applyProtection="1">
      <alignment horizontal="left" vertical="top" wrapText="1"/>
      <protection locked="0"/>
    </xf>
    <xf numFmtId="0" fontId="26" fillId="0" borderId="57" xfId="0" applyFont="1" applyFill="1" applyBorder="1" applyAlignment="1" applyProtection="1">
      <alignment horizontal="left" vertical="top" wrapText="1"/>
      <protection locked="0"/>
    </xf>
    <xf numFmtId="0" fontId="59" fillId="38" borderId="8" xfId="0" applyFont="1" applyFill="1" applyBorder="1" applyAlignment="1" applyProtection="1">
      <alignment horizontal="center" vertical="center" wrapText="1"/>
    </xf>
    <xf numFmtId="0" fontId="59" fillId="38" borderId="42" xfId="0" applyFont="1" applyFill="1" applyBorder="1" applyAlignment="1" applyProtection="1">
      <alignment horizontal="center" vertical="center" wrapText="1"/>
    </xf>
    <xf numFmtId="0" fontId="59" fillId="38" borderId="17" xfId="0" applyFont="1" applyFill="1" applyBorder="1" applyAlignment="1" applyProtection="1">
      <alignment horizontal="center" vertical="center" wrapText="1"/>
    </xf>
    <xf numFmtId="0" fontId="59" fillId="38" borderId="37" xfId="0" applyFont="1" applyFill="1" applyBorder="1" applyAlignment="1" applyProtection="1">
      <alignment horizontal="center" vertical="center" wrapText="1"/>
    </xf>
    <xf numFmtId="0" fontId="19" fillId="11" borderId="58" xfId="0" applyFont="1" applyFill="1" applyBorder="1" applyAlignment="1" applyProtection="1">
      <alignment horizontal="left"/>
    </xf>
    <xf numFmtId="0" fontId="19" fillId="11" borderId="59" xfId="0" applyFont="1" applyFill="1" applyBorder="1" applyAlignment="1" applyProtection="1">
      <alignment horizontal="left"/>
    </xf>
    <xf numFmtId="0" fontId="19" fillId="26" borderId="60" xfId="0" applyFont="1" applyFill="1" applyBorder="1" applyAlignment="1" applyProtection="1">
      <alignment horizontal="left" vertical="center"/>
    </xf>
    <xf numFmtId="0" fontId="19" fillId="26" borderId="17" xfId="0" applyFont="1" applyFill="1" applyBorder="1" applyAlignment="1" applyProtection="1">
      <alignment horizontal="left" vertical="center"/>
    </xf>
    <xf numFmtId="0" fontId="33" fillId="40" borderId="27" xfId="0" applyFont="1" applyFill="1" applyBorder="1" applyAlignment="1" applyProtection="1">
      <alignment horizontal="center" vertical="center" textRotation="90"/>
    </xf>
    <xf numFmtId="0" fontId="33" fillId="40" borderId="0" xfId="0" applyFont="1" applyFill="1" applyBorder="1" applyAlignment="1" applyProtection="1">
      <alignment horizontal="center" vertical="center" textRotation="90"/>
    </xf>
    <xf numFmtId="0" fontId="40" fillId="0" borderId="0" xfId="0" applyFont="1" applyBorder="1" applyAlignment="1" applyProtection="1">
      <alignment horizontal="center" vertical="top" wrapText="1"/>
    </xf>
    <xf numFmtId="0" fontId="10" fillId="22" borderId="19" xfId="0" applyFont="1" applyFill="1" applyBorder="1" applyAlignment="1" applyProtection="1">
      <alignment horizontal="center" vertical="center" wrapText="1"/>
      <protection locked="0"/>
    </xf>
    <xf numFmtId="0" fontId="0" fillId="22" borderId="19" xfId="0" applyFill="1" applyBorder="1" applyAlignment="1" applyProtection="1">
      <alignment horizontal="center" vertical="center"/>
    </xf>
    <xf numFmtId="0" fontId="26" fillId="22" borderId="0" xfId="0" applyFont="1" applyFill="1" applyBorder="1" applyAlignment="1" applyProtection="1">
      <alignment horizontal="left" vertical="center" wrapText="1"/>
    </xf>
    <xf numFmtId="14" fontId="25" fillId="0" borderId="30" xfId="0" applyNumberFormat="1" applyFont="1" applyBorder="1" applyAlignment="1" applyProtection="1">
      <alignment horizontal="center" vertical="center"/>
      <protection locked="0"/>
    </xf>
    <xf numFmtId="0" fontId="25" fillId="0" borderId="15" xfId="0" applyFont="1" applyBorder="1" applyAlignment="1" applyProtection="1">
      <alignment horizontal="center" vertical="center"/>
      <protection locked="0"/>
    </xf>
    <xf numFmtId="0" fontId="0" fillId="0" borderId="34" xfId="0" applyBorder="1" applyAlignment="1" applyProtection="1">
      <alignment horizontal="center" vertical="center"/>
    </xf>
    <xf numFmtId="0" fontId="0" fillId="0" borderId="32" xfId="0" applyBorder="1" applyAlignment="1" applyProtection="1">
      <alignment horizontal="center" vertical="center"/>
    </xf>
    <xf numFmtId="0" fontId="58" fillId="22" borderId="0" xfId="0" applyFont="1" applyFill="1" applyBorder="1" applyAlignment="1" applyProtection="1">
      <alignment horizontal="center" vertical="center" wrapText="1"/>
    </xf>
    <xf numFmtId="0" fontId="21" fillId="22" borderId="0" xfId="0" applyFont="1" applyFill="1" applyBorder="1" applyAlignment="1" applyProtection="1">
      <alignment horizontal="center" wrapText="1"/>
    </xf>
    <xf numFmtId="0" fontId="21" fillId="22" borderId="32" xfId="0" applyFont="1" applyFill="1" applyBorder="1" applyAlignment="1" applyProtection="1">
      <alignment horizontal="center" wrapText="1"/>
    </xf>
    <xf numFmtId="9" fontId="59" fillId="41" borderId="34" xfId="0" applyNumberFormat="1" applyFont="1" applyFill="1" applyBorder="1" applyAlignment="1" applyProtection="1">
      <alignment horizontal="center" vertical="center" wrapText="1"/>
      <protection locked="0"/>
    </xf>
    <xf numFmtId="9" fontId="59" fillId="41" borderId="38" xfId="0" applyNumberFormat="1" applyFont="1" applyFill="1" applyBorder="1" applyAlignment="1" applyProtection="1">
      <alignment horizontal="center" vertical="center" wrapText="1"/>
      <protection locked="0"/>
    </xf>
    <xf numFmtId="9" fontId="59" fillId="41" borderId="32" xfId="0" applyNumberFormat="1" applyFont="1" applyFill="1" applyBorder="1" applyAlignment="1" applyProtection="1">
      <alignment horizontal="center" vertical="center" wrapText="1"/>
      <protection locked="0"/>
    </xf>
    <xf numFmtId="9" fontId="59" fillId="41" borderId="33" xfId="0" applyNumberFormat="1" applyFont="1" applyFill="1" applyBorder="1" applyAlignment="1" applyProtection="1">
      <alignment horizontal="center" vertical="center" wrapText="1"/>
      <protection locked="0"/>
    </xf>
    <xf numFmtId="0" fontId="19" fillId="12" borderId="46" xfId="0" applyFont="1" applyFill="1" applyBorder="1" applyAlignment="1" applyProtection="1">
      <alignment horizontal="left"/>
    </xf>
    <xf numFmtId="0" fontId="19" fillId="12" borderId="47" xfId="0" applyFont="1" applyFill="1" applyBorder="1" applyAlignment="1" applyProtection="1">
      <alignment horizontal="left"/>
    </xf>
    <xf numFmtId="0" fontId="53" fillId="0" borderId="48" xfId="0" applyFont="1" applyBorder="1" applyAlignment="1" applyProtection="1">
      <alignment horizontal="left" vertical="center" wrapText="1"/>
      <protection locked="0"/>
    </xf>
    <xf numFmtId="0" fontId="53" fillId="0" borderId="17" xfId="0" applyFont="1" applyBorder="1" applyAlignment="1" applyProtection="1">
      <alignment horizontal="left" vertical="center" wrapText="1"/>
      <protection locked="0"/>
    </xf>
    <xf numFmtId="0" fontId="53" fillId="0" borderId="37" xfId="0" applyFont="1" applyBorder="1" applyAlignment="1" applyProtection="1">
      <alignment horizontal="left" vertical="center" wrapText="1"/>
      <protection locked="0"/>
    </xf>
    <xf numFmtId="0" fontId="53" fillId="0" borderId="49" xfId="0" applyFont="1" applyBorder="1" applyAlignment="1" applyProtection="1">
      <alignment horizontal="left" vertical="center" wrapText="1"/>
      <protection locked="0"/>
    </xf>
    <xf numFmtId="0" fontId="53" fillId="0" borderId="0" xfId="0" applyFont="1" applyBorder="1" applyAlignment="1" applyProtection="1">
      <alignment horizontal="left" vertical="center" wrapText="1"/>
      <protection locked="0"/>
    </xf>
    <xf numFmtId="0" fontId="53" fillId="0" borderId="43" xfId="0" applyFont="1" applyBorder="1" applyAlignment="1" applyProtection="1">
      <alignment horizontal="left" vertical="center" wrapText="1"/>
      <protection locked="0"/>
    </xf>
    <xf numFmtId="0" fontId="53" fillId="0" borderId="50" xfId="0" applyFont="1" applyBorder="1" applyAlignment="1" applyProtection="1">
      <alignment horizontal="left" vertical="center" wrapText="1"/>
      <protection locked="0"/>
    </xf>
    <xf numFmtId="0" fontId="53" fillId="0" borderId="19" xfId="0" applyFont="1" applyBorder="1" applyAlignment="1" applyProtection="1">
      <alignment horizontal="left" vertical="center" wrapText="1"/>
      <protection locked="0"/>
    </xf>
    <xf numFmtId="0" fontId="53" fillId="0" borderId="25" xfId="0" applyFont="1" applyBorder="1" applyAlignment="1" applyProtection="1">
      <alignment horizontal="left" vertical="center" wrapText="1"/>
      <protection locked="0"/>
    </xf>
    <xf numFmtId="0" fontId="57" fillId="0" borderId="19" xfId="0" applyFont="1" applyBorder="1" applyAlignment="1" applyProtection="1">
      <alignment horizontal="center" vertical="center"/>
    </xf>
    <xf numFmtId="0" fontId="57" fillId="0" borderId="25" xfId="0" applyFont="1" applyBorder="1" applyAlignment="1" applyProtection="1">
      <alignment horizontal="center" vertical="center"/>
    </xf>
    <xf numFmtId="0" fontId="21" fillId="0" borderId="16" xfId="0" applyFont="1" applyFill="1" applyBorder="1" applyAlignment="1" applyProtection="1">
      <alignment horizontal="center" vertical="top" wrapText="1"/>
    </xf>
    <xf numFmtId="0" fontId="21" fillId="0" borderId="17" xfId="0" applyFont="1" applyFill="1" applyBorder="1" applyAlignment="1" applyProtection="1">
      <alignment horizontal="center" vertical="top" wrapText="1"/>
    </xf>
    <xf numFmtId="0" fontId="21" fillId="0" borderId="37" xfId="0" applyFont="1" applyFill="1" applyBorder="1" applyAlignment="1" applyProtection="1">
      <alignment horizontal="center" vertical="top" wrapText="1"/>
    </xf>
    <xf numFmtId="0" fontId="19" fillId="39" borderId="0" xfId="0" applyFont="1" applyFill="1" applyBorder="1" applyAlignment="1" applyProtection="1">
      <alignment horizontal="center" vertical="center"/>
      <protection locked="0"/>
    </xf>
    <xf numFmtId="0" fontId="19" fillId="39" borderId="43" xfId="0" applyFont="1" applyFill="1" applyBorder="1" applyAlignment="1" applyProtection="1">
      <alignment horizontal="center" vertical="center"/>
      <protection locked="0"/>
    </xf>
    <xf numFmtId="0" fontId="19" fillId="39" borderId="19" xfId="0" applyFont="1" applyFill="1" applyBorder="1" applyAlignment="1" applyProtection="1">
      <alignment horizontal="center" vertical="center"/>
      <protection locked="0"/>
    </xf>
    <xf numFmtId="0" fontId="19" fillId="39" borderId="25" xfId="0" applyFont="1" applyFill="1" applyBorder="1" applyAlignment="1" applyProtection="1">
      <alignment horizontal="center" vertical="center"/>
      <protection locked="0"/>
    </xf>
    <xf numFmtId="0" fontId="39" fillId="23" borderId="38" xfId="0" applyFont="1" applyFill="1" applyBorder="1" applyAlignment="1" applyProtection="1">
      <alignment horizontal="left" vertical="top" wrapText="1"/>
    </xf>
    <xf numFmtId="0" fontId="39" fillId="23" borderId="0" xfId="0" applyFont="1" applyFill="1" applyBorder="1" applyAlignment="1" applyProtection="1">
      <alignment horizontal="left" vertical="top" wrapText="1"/>
    </xf>
    <xf numFmtId="0" fontId="39" fillId="23" borderId="15" xfId="0" applyFont="1" applyFill="1" applyBorder="1" applyAlignment="1" applyProtection="1">
      <alignment horizontal="left" vertical="top" wrapText="1"/>
    </xf>
    <xf numFmtId="0" fontId="54" fillId="0" borderId="29" xfId="0" applyFont="1" applyBorder="1" applyAlignment="1" applyProtection="1">
      <alignment horizontal="left" vertical="center"/>
      <protection locked="0"/>
    </xf>
    <xf numFmtId="0" fontId="54" fillId="0" borderId="34" xfId="0" applyFont="1" applyBorder="1" applyAlignment="1" applyProtection="1">
      <alignment horizontal="left" vertical="center"/>
      <protection locked="0"/>
    </xf>
    <xf numFmtId="0" fontId="54" fillId="0" borderId="38" xfId="0" applyFont="1" applyBorder="1" applyAlignment="1" applyProtection="1">
      <alignment horizontal="left" vertical="center"/>
      <protection locked="0"/>
    </xf>
    <xf numFmtId="0" fontId="54" fillId="0" borderId="31" xfId="0" applyFont="1" applyBorder="1" applyAlignment="1" applyProtection="1">
      <alignment horizontal="left" vertical="center"/>
      <protection locked="0"/>
    </xf>
    <xf numFmtId="0" fontId="54" fillId="0" borderId="32" xfId="0" applyFont="1" applyBorder="1" applyAlignment="1" applyProtection="1">
      <alignment horizontal="left" vertical="center"/>
      <protection locked="0"/>
    </xf>
    <xf numFmtId="0" fontId="54" fillId="0" borderId="33" xfId="0" applyFont="1" applyBorder="1" applyAlignment="1" applyProtection="1">
      <alignment horizontal="left" vertical="center"/>
      <protection locked="0"/>
    </xf>
    <xf numFmtId="44" fontId="55" fillId="0" borderId="29" xfId="0" applyNumberFormat="1" applyFont="1" applyBorder="1" applyAlignment="1" applyProtection="1">
      <alignment horizontal="center" vertical="center" wrapText="1"/>
    </xf>
    <xf numFmtId="44" fontId="55" fillId="0" borderId="34" xfId="0" applyNumberFormat="1" applyFont="1" applyBorder="1" applyAlignment="1" applyProtection="1">
      <alignment horizontal="center" vertical="center" wrapText="1"/>
    </xf>
    <xf numFmtId="44" fontId="55" fillId="0" borderId="38" xfId="0" applyNumberFormat="1" applyFont="1" applyBorder="1" applyAlignment="1" applyProtection="1">
      <alignment horizontal="center" vertical="center" wrapText="1"/>
    </xf>
    <xf numFmtId="44" fontId="55" fillId="0" borderId="31" xfId="0" applyNumberFormat="1" applyFont="1" applyBorder="1" applyAlignment="1" applyProtection="1">
      <alignment horizontal="center" vertical="center" wrapText="1"/>
    </xf>
    <xf numFmtId="44" fontId="55" fillId="0" borderId="32" xfId="0" applyNumberFormat="1" applyFont="1" applyBorder="1" applyAlignment="1" applyProtection="1">
      <alignment horizontal="center" vertical="center" wrapText="1"/>
    </xf>
    <xf numFmtId="44" fontId="55" fillId="0" borderId="33" xfId="0" applyNumberFormat="1" applyFont="1" applyBorder="1" applyAlignment="1" applyProtection="1">
      <alignment horizontal="center" vertical="center" wrapText="1"/>
    </xf>
    <xf numFmtId="0" fontId="25" fillId="0" borderId="29" xfId="0" applyFont="1" applyBorder="1" applyAlignment="1" applyProtection="1">
      <alignment horizontal="center" vertical="center"/>
      <protection locked="0"/>
    </xf>
    <xf numFmtId="0" fontId="24" fillId="23" borderId="0" xfId="0" applyFont="1" applyFill="1" applyBorder="1" applyAlignment="1" applyProtection="1">
      <alignment horizontal="left" vertical="center"/>
    </xf>
    <xf numFmtId="166" fontId="24" fillId="23" borderId="0" xfId="0" applyNumberFormat="1" applyFont="1" applyFill="1" applyBorder="1" applyAlignment="1" applyProtection="1">
      <alignment horizontal="left" vertical="center" wrapText="1"/>
    </xf>
    <xf numFmtId="0" fontId="3" fillId="0" borderId="0" xfId="0" applyFont="1" applyAlignment="1" applyProtection="1">
      <alignment horizontal="justify" vertical="top" wrapText="1"/>
    </xf>
    <xf numFmtId="166" fontId="5" fillId="0" borderId="29" xfId="0" applyNumberFormat="1" applyFont="1" applyFill="1" applyBorder="1" applyAlignment="1" applyProtection="1">
      <alignment horizontal="center" vertical="center" wrapText="1"/>
      <protection locked="0"/>
    </xf>
    <xf numFmtId="166" fontId="5" fillId="0" borderId="34" xfId="0" applyNumberFormat="1" applyFont="1" applyFill="1" applyBorder="1" applyAlignment="1" applyProtection="1">
      <alignment horizontal="center" vertical="center" wrapText="1"/>
      <protection locked="0"/>
    </xf>
    <xf numFmtId="166" fontId="5" fillId="0" borderId="38" xfId="0" applyNumberFormat="1" applyFont="1" applyFill="1" applyBorder="1" applyAlignment="1" applyProtection="1">
      <alignment horizontal="center" vertical="center" wrapText="1"/>
      <protection locked="0"/>
    </xf>
    <xf numFmtId="166" fontId="5" fillId="0" borderId="31" xfId="0" applyNumberFormat="1" applyFont="1" applyFill="1" applyBorder="1" applyAlignment="1" applyProtection="1">
      <alignment horizontal="center" vertical="center" wrapText="1"/>
      <protection locked="0"/>
    </xf>
    <xf numFmtId="166" fontId="5" fillId="0" borderId="32" xfId="0" applyNumberFormat="1" applyFont="1" applyFill="1" applyBorder="1" applyAlignment="1" applyProtection="1">
      <alignment horizontal="center" vertical="center" wrapText="1"/>
      <protection locked="0"/>
    </xf>
    <xf numFmtId="166" fontId="5" fillId="0" borderId="33" xfId="0" applyNumberFormat="1" applyFont="1" applyFill="1" applyBorder="1" applyAlignment="1" applyProtection="1">
      <alignment horizontal="center" vertical="center" wrapText="1"/>
      <protection locked="0"/>
    </xf>
    <xf numFmtId="0" fontId="24" fillId="0" borderId="29" xfId="0" applyFont="1" applyFill="1" applyBorder="1" applyAlignment="1" applyProtection="1">
      <alignment horizontal="center" vertical="center" wrapText="1"/>
      <protection locked="0"/>
    </xf>
    <xf numFmtId="0" fontId="24" fillId="0" borderId="34" xfId="0" applyFont="1" applyFill="1" applyBorder="1" applyAlignment="1" applyProtection="1">
      <alignment horizontal="center" vertical="center" wrapText="1"/>
      <protection locked="0"/>
    </xf>
    <xf numFmtId="0" fontId="24" fillId="0" borderId="38" xfId="0" applyFont="1" applyFill="1" applyBorder="1" applyAlignment="1" applyProtection="1">
      <alignment horizontal="center" vertical="center" wrapText="1"/>
      <protection locked="0"/>
    </xf>
    <xf numFmtId="0" fontId="24" fillId="0" borderId="31" xfId="0" applyFont="1" applyFill="1" applyBorder="1" applyAlignment="1" applyProtection="1">
      <alignment horizontal="center" vertical="center" wrapText="1"/>
      <protection locked="0"/>
    </xf>
    <xf numFmtId="0" fontId="24" fillId="0" borderId="32" xfId="0" applyFont="1" applyFill="1" applyBorder="1" applyAlignment="1" applyProtection="1">
      <alignment horizontal="center" vertical="center" wrapText="1"/>
      <protection locked="0"/>
    </xf>
    <xf numFmtId="0" fontId="24" fillId="0" borderId="33" xfId="0" applyFont="1" applyFill="1" applyBorder="1" applyAlignment="1" applyProtection="1">
      <alignment horizontal="center" vertical="center" wrapText="1"/>
      <protection locked="0"/>
    </xf>
    <xf numFmtId="166" fontId="24" fillId="39" borderId="4" xfId="0" applyNumberFormat="1" applyFont="1" applyFill="1" applyBorder="1" applyAlignment="1" applyProtection="1">
      <alignment horizontal="center" vertical="center" wrapText="1"/>
    </xf>
    <xf numFmtId="0" fontId="24" fillId="39" borderId="4" xfId="0" applyFont="1" applyFill="1" applyBorder="1" applyAlignment="1" applyProtection="1">
      <alignment horizontal="center" vertical="center" wrapText="1"/>
    </xf>
    <xf numFmtId="0" fontId="0" fillId="0" borderId="77" xfId="0" applyFill="1" applyBorder="1" applyAlignment="1" applyProtection="1">
      <alignment horizontal="center"/>
    </xf>
    <xf numFmtId="0" fontId="0" fillId="0" borderId="44" xfId="0" applyFill="1" applyBorder="1" applyAlignment="1" applyProtection="1">
      <alignment horizontal="center"/>
    </xf>
    <xf numFmtId="0" fontId="0" fillId="0" borderId="45" xfId="0" applyFill="1" applyBorder="1" applyAlignment="1" applyProtection="1">
      <alignment horizontal="center"/>
    </xf>
    <xf numFmtId="0" fontId="0" fillId="0" borderId="43" xfId="0" applyFill="1" applyBorder="1" applyAlignment="1" applyProtection="1">
      <alignment horizontal="right" vertical="center" textRotation="90"/>
    </xf>
    <xf numFmtId="166" fontId="24" fillId="45" borderId="4" xfId="0" applyNumberFormat="1" applyFont="1" applyFill="1" applyBorder="1" applyAlignment="1" applyProtection="1">
      <alignment horizontal="center" vertical="center" wrapText="1"/>
    </xf>
    <xf numFmtId="0" fontId="49" fillId="45" borderId="4" xfId="0" applyFont="1" applyFill="1" applyBorder="1" applyAlignment="1" applyProtection="1">
      <alignment horizontal="center"/>
    </xf>
    <xf numFmtId="44" fontId="0" fillId="0" borderId="89" xfId="0" applyNumberFormat="1" applyBorder="1" applyAlignment="1" applyProtection="1">
      <alignment horizontal="center"/>
    </xf>
    <xf numFmtId="44" fontId="0" fillId="0" borderId="51" xfId="0" applyNumberFormat="1" applyBorder="1" applyAlignment="1" applyProtection="1">
      <alignment horizontal="center"/>
    </xf>
    <xf numFmtId="44" fontId="0" fillId="0" borderId="90" xfId="0" applyNumberFormat="1" applyBorder="1" applyAlignment="1" applyProtection="1">
      <alignment horizontal="center"/>
    </xf>
    <xf numFmtId="44" fontId="0" fillId="0" borderId="4" xfId="0" applyNumberFormat="1" applyBorder="1" applyAlignment="1" applyProtection="1">
      <alignment horizontal="center"/>
    </xf>
    <xf numFmtId="44" fontId="0" fillId="0" borderId="12" xfId="0" applyNumberFormat="1" applyBorder="1" applyAlignment="1" applyProtection="1">
      <alignment horizontal="center"/>
    </xf>
    <xf numFmtId="0" fontId="19" fillId="0" borderId="23" xfId="0" applyFont="1" applyBorder="1" applyAlignment="1" applyProtection="1">
      <alignment horizontal="left" vertical="center" wrapText="1"/>
    </xf>
    <xf numFmtId="0" fontId="19" fillId="0" borderId="0" xfId="0" applyFont="1" applyBorder="1" applyAlignment="1" applyProtection="1">
      <alignment horizontal="left" vertical="center" wrapText="1"/>
    </xf>
    <xf numFmtId="0" fontId="19" fillId="0" borderId="43" xfId="0" applyFont="1" applyBorder="1" applyAlignment="1" applyProtection="1">
      <alignment horizontal="left" vertical="center" wrapText="1"/>
    </xf>
    <xf numFmtId="0" fontId="19" fillId="0" borderId="18" xfId="0" applyFont="1" applyBorder="1" applyAlignment="1" applyProtection="1">
      <alignment horizontal="left" vertical="center" wrapText="1"/>
    </xf>
    <xf numFmtId="0" fontId="19" fillId="0" borderId="19" xfId="0" applyFont="1" applyBorder="1" applyAlignment="1" applyProtection="1">
      <alignment horizontal="left" vertical="center" wrapText="1"/>
    </xf>
    <xf numFmtId="0" fontId="19" fillId="0" borderId="25" xfId="0" applyFont="1" applyBorder="1" applyAlignment="1" applyProtection="1">
      <alignment horizontal="left" vertical="center" wrapText="1"/>
    </xf>
    <xf numFmtId="0" fontId="39" fillId="0" borderId="16" xfId="0" applyFont="1" applyFill="1" applyBorder="1" applyAlignment="1" applyProtection="1">
      <alignment horizontal="center" vertical="center" wrapText="1"/>
    </xf>
    <xf numFmtId="0" fontId="39" fillId="0" borderId="17" xfId="0" applyFont="1" applyFill="1" applyBorder="1" applyAlignment="1" applyProtection="1">
      <alignment horizontal="center" vertical="center" wrapText="1"/>
    </xf>
    <xf numFmtId="0" fontId="39" fillId="0" borderId="37" xfId="0" applyFont="1" applyFill="1" applyBorder="1" applyAlignment="1" applyProtection="1">
      <alignment horizontal="center" vertical="center" wrapText="1"/>
    </xf>
    <xf numFmtId="0" fontId="39" fillId="0" borderId="23" xfId="0" applyFont="1" applyFill="1" applyBorder="1" applyAlignment="1" applyProtection="1">
      <alignment horizontal="center" vertical="center" wrapText="1"/>
    </xf>
    <xf numFmtId="0" fontId="39" fillId="0" borderId="0" xfId="0" applyFont="1" applyFill="1" applyBorder="1" applyAlignment="1" applyProtection="1">
      <alignment horizontal="center" vertical="center" wrapText="1"/>
    </xf>
    <xf numFmtId="0" fontId="39" fillId="0" borderId="43" xfId="0" applyFont="1" applyFill="1" applyBorder="1" applyAlignment="1" applyProtection="1">
      <alignment horizontal="center" vertical="center" wrapText="1"/>
    </xf>
    <xf numFmtId="0" fontId="39" fillId="0" borderId="18" xfId="0" applyFont="1" applyFill="1" applyBorder="1" applyAlignment="1" applyProtection="1">
      <alignment horizontal="center" vertical="center" wrapText="1"/>
    </xf>
    <xf numFmtId="0" fontId="39" fillId="0" borderId="19" xfId="0" applyFont="1" applyFill="1" applyBorder="1" applyAlignment="1" applyProtection="1">
      <alignment horizontal="center" vertical="center" wrapText="1"/>
    </xf>
    <xf numFmtId="0" fontId="39" fillId="0" borderId="25" xfId="0" applyFont="1" applyFill="1" applyBorder="1" applyAlignment="1" applyProtection="1">
      <alignment horizontal="center" vertical="center" wrapText="1"/>
    </xf>
    <xf numFmtId="0" fontId="21" fillId="0" borderId="16" xfId="0" applyFont="1" applyFill="1" applyBorder="1" applyAlignment="1" applyProtection="1">
      <alignment horizontal="center" vertical="center" wrapText="1"/>
    </xf>
    <xf numFmtId="0" fontId="21" fillId="0" borderId="17" xfId="0" applyFont="1" applyFill="1" applyBorder="1" applyAlignment="1" applyProtection="1">
      <alignment horizontal="center" vertical="center" wrapText="1"/>
    </xf>
    <xf numFmtId="0" fontId="21" fillId="0" borderId="37" xfId="0" applyFont="1" applyFill="1" applyBorder="1" applyAlignment="1" applyProtection="1">
      <alignment horizontal="center" vertical="center" wrapText="1"/>
    </xf>
    <xf numFmtId="0" fontId="21" fillId="0" borderId="23" xfId="0" applyFont="1" applyFill="1" applyBorder="1" applyAlignment="1" applyProtection="1">
      <alignment horizontal="center" vertical="center" wrapText="1"/>
    </xf>
    <xf numFmtId="0" fontId="21" fillId="0" borderId="0" xfId="0" applyFont="1" applyFill="1" applyBorder="1" applyAlignment="1" applyProtection="1">
      <alignment horizontal="center" vertical="center" wrapText="1"/>
    </xf>
    <xf numFmtId="0" fontId="21" fillId="0" borderId="43" xfId="0" applyFont="1" applyFill="1" applyBorder="1" applyAlignment="1" applyProtection="1">
      <alignment horizontal="center" vertical="center" wrapText="1"/>
    </xf>
    <xf numFmtId="0" fontId="21" fillId="0" borderId="18" xfId="0" applyFont="1" applyFill="1" applyBorder="1" applyAlignment="1" applyProtection="1">
      <alignment horizontal="center" vertical="center" wrapText="1"/>
    </xf>
    <xf numFmtId="0" fontId="21" fillId="0" borderId="19" xfId="0" applyFont="1" applyFill="1" applyBorder="1" applyAlignment="1" applyProtection="1">
      <alignment horizontal="center" vertical="center" wrapText="1"/>
    </xf>
    <xf numFmtId="0" fontId="21" fillId="0" borderId="25" xfId="0" applyFont="1" applyFill="1" applyBorder="1" applyAlignment="1" applyProtection="1">
      <alignment horizontal="center" vertical="center" wrapText="1"/>
    </xf>
    <xf numFmtId="0" fontId="0" fillId="0" borderId="86" xfId="0" applyFill="1" applyBorder="1" applyAlignment="1" applyProtection="1">
      <alignment horizontal="center"/>
    </xf>
    <xf numFmtId="0" fontId="0" fillId="0" borderId="65" xfId="0" applyFill="1" applyBorder="1" applyAlignment="1" applyProtection="1">
      <alignment horizontal="center"/>
    </xf>
    <xf numFmtId="0" fontId="0" fillId="0" borderId="66" xfId="0" applyFill="1" applyBorder="1" applyAlignment="1" applyProtection="1">
      <alignment horizontal="center"/>
    </xf>
    <xf numFmtId="0" fontId="0" fillId="0" borderId="87" xfId="0" applyFill="1" applyBorder="1" applyAlignment="1" applyProtection="1">
      <alignment horizontal="center"/>
    </xf>
    <xf numFmtId="0" fontId="0" fillId="0" borderId="88" xfId="0" applyFill="1" applyBorder="1" applyAlignment="1" applyProtection="1">
      <alignment horizontal="center"/>
    </xf>
    <xf numFmtId="0" fontId="0" fillId="0" borderId="59" xfId="0" applyFill="1" applyBorder="1" applyAlignment="1" applyProtection="1">
      <alignment horizontal="center"/>
    </xf>
    <xf numFmtId="0" fontId="0" fillId="0" borderId="24" xfId="0" applyFill="1" applyBorder="1" applyAlignment="1" applyProtection="1">
      <alignment horizontal="center"/>
    </xf>
    <xf numFmtId="0" fontId="0" fillId="0" borderId="72" xfId="0" applyFill="1" applyBorder="1" applyAlignment="1" applyProtection="1">
      <alignment horizontal="center"/>
    </xf>
    <xf numFmtId="0" fontId="49" fillId="3" borderId="0" xfId="0" applyFont="1" applyFill="1" applyBorder="1" applyAlignment="1" applyProtection="1">
      <alignment horizontal="center" vertical="center" wrapText="1"/>
    </xf>
    <xf numFmtId="0" fontId="26" fillId="22" borderId="76" xfId="0" applyFont="1" applyFill="1" applyBorder="1" applyAlignment="1" applyProtection="1">
      <alignment horizontal="center" vertical="center" wrapText="1"/>
    </xf>
    <xf numFmtId="0" fontId="26" fillId="22" borderId="77" xfId="0" applyFont="1" applyFill="1" applyBorder="1" applyAlignment="1" applyProtection="1">
      <alignment horizontal="center" vertical="center" wrapText="1"/>
    </xf>
    <xf numFmtId="166" fontId="26" fillId="38" borderId="86" xfId="0" applyNumberFormat="1" applyFont="1" applyFill="1" applyBorder="1" applyAlignment="1" applyProtection="1">
      <alignment horizontal="center" vertical="top" wrapText="1"/>
    </xf>
    <xf numFmtId="166" fontId="26" fillId="38" borderId="76" xfId="0" applyNumberFormat="1" applyFont="1" applyFill="1" applyBorder="1" applyAlignment="1" applyProtection="1">
      <alignment horizontal="center" vertical="top" wrapText="1"/>
    </xf>
    <xf numFmtId="166" fontId="5" fillId="38" borderId="66" xfId="0" applyNumberFormat="1" applyFont="1" applyFill="1" applyBorder="1" applyAlignment="1" applyProtection="1">
      <alignment horizontal="center" vertical="center" wrapText="1"/>
    </xf>
    <xf numFmtId="14" fontId="25" fillId="0" borderId="4" xfId="0" applyNumberFormat="1" applyFont="1" applyFill="1" applyBorder="1" applyAlignment="1" applyProtection="1">
      <alignment horizontal="center" vertical="center" wrapText="1"/>
      <protection locked="0"/>
    </xf>
    <xf numFmtId="44" fontId="53" fillId="0" borderId="4" xfId="1" applyFont="1" applyBorder="1" applyAlignment="1" applyProtection="1">
      <alignment horizontal="center" vertical="center"/>
      <protection locked="0"/>
    </xf>
    <xf numFmtId="44" fontId="53" fillId="0" borderId="5" xfId="1" applyFont="1" applyBorder="1" applyAlignment="1" applyProtection="1">
      <alignment horizontal="center" vertical="center"/>
      <protection locked="0"/>
    </xf>
    <xf numFmtId="0" fontId="67" fillId="18" borderId="76" xfId="0" applyFont="1" applyFill="1" applyBorder="1" applyAlignment="1" applyProtection="1">
      <alignment horizontal="center" vertical="center" wrapText="1"/>
    </xf>
    <xf numFmtId="0" fontId="67" fillId="18" borderId="77" xfId="0" applyFont="1" applyFill="1" applyBorder="1" applyAlignment="1" applyProtection="1">
      <alignment horizontal="center" vertical="center" wrapText="1"/>
    </xf>
    <xf numFmtId="166" fontId="67" fillId="18" borderId="86" xfId="0" applyNumberFormat="1" applyFont="1" applyFill="1" applyBorder="1" applyAlignment="1" applyProtection="1">
      <alignment horizontal="center" vertical="top" wrapText="1"/>
    </xf>
    <xf numFmtId="166" fontId="67" fillId="18" borderId="76" xfId="0" applyNumberFormat="1" applyFont="1" applyFill="1" applyBorder="1" applyAlignment="1" applyProtection="1">
      <alignment horizontal="center" vertical="top" wrapText="1"/>
    </xf>
    <xf numFmtId="166" fontId="26" fillId="38" borderId="84" xfId="0" applyNumberFormat="1" applyFont="1" applyFill="1" applyBorder="1" applyAlignment="1" applyProtection="1">
      <alignment horizontal="center" vertical="top" wrapText="1"/>
    </xf>
    <xf numFmtId="166" fontId="26" fillId="38" borderId="85" xfId="0" applyNumberFormat="1" applyFont="1" applyFill="1" applyBorder="1" applyAlignment="1" applyProtection="1">
      <alignment horizontal="center" vertical="top" wrapText="1"/>
    </xf>
    <xf numFmtId="166" fontId="26" fillId="38" borderId="75" xfId="0" applyNumberFormat="1" applyFont="1" applyFill="1" applyBorder="1" applyAlignment="1" applyProtection="1">
      <alignment horizontal="center" vertical="top" wrapText="1"/>
    </xf>
    <xf numFmtId="166" fontId="67" fillId="18" borderId="84" xfId="0" applyNumberFormat="1" applyFont="1" applyFill="1" applyBorder="1" applyAlignment="1" applyProtection="1">
      <alignment horizontal="center" vertical="top" wrapText="1"/>
    </xf>
    <xf numFmtId="166" fontId="67" fillId="18" borderId="85" xfId="0" applyNumberFormat="1" applyFont="1" applyFill="1" applyBorder="1" applyAlignment="1" applyProtection="1">
      <alignment horizontal="center" vertical="top" wrapText="1"/>
    </xf>
    <xf numFmtId="166" fontId="67" fillId="18" borderId="75" xfId="0" applyNumberFormat="1" applyFont="1" applyFill="1" applyBorder="1" applyAlignment="1" applyProtection="1">
      <alignment horizontal="center" vertical="top" wrapText="1"/>
    </xf>
    <xf numFmtId="0" fontId="53" fillId="0" borderId="65" xfId="0" applyFont="1" applyBorder="1" applyAlignment="1" applyProtection="1">
      <alignment horizontal="left" vertical="top"/>
      <protection locked="0"/>
    </xf>
    <xf numFmtId="0" fontId="53" fillId="0" borderId="4" xfId="0" applyFont="1" applyBorder="1" applyAlignment="1" applyProtection="1">
      <alignment horizontal="left" vertical="top"/>
      <protection locked="0"/>
    </xf>
    <xf numFmtId="0" fontId="25" fillId="0" borderId="4" xfId="0" applyFont="1" applyBorder="1" applyAlignment="1" applyProtection="1">
      <alignment horizontal="center" vertical="center"/>
      <protection locked="0"/>
    </xf>
    <xf numFmtId="0" fontId="57" fillId="0" borderId="20" xfId="0" applyFont="1" applyBorder="1" applyAlignment="1" applyProtection="1">
      <alignment horizontal="right" vertical="top" wrapText="1"/>
    </xf>
    <xf numFmtId="0" fontId="57" fillId="0" borderId="21" xfId="0" applyFont="1" applyBorder="1" applyAlignment="1" applyProtection="1">
      <alignment horizontal="right" vertical="top" wrapText="1"/>
    </xf>
    <xf numFmtId="0" fontId="57" fillId="0" borderId="22" xfId="0" applyFont="1" applyBorder="1" applyAlignment="1" applyProtection="1">
      <alignment horizontal="right" vertical="top" wrapText="1"/>
    </xf>
    <xf numFmtId="0" fontId="0" fillId="42" borderId="8" xfId="0" applyFont="1" applyFill="1" applyBorder="1" applyAlignment="1" applyProtection="1">
      <alignment horizontal="right" vertical="center" wrapText="1"/>
    </xf>
    <xf numFmtId="0" fontId="0" fillId="42" borderId="42" xfId="0" applyFont="1" applyFill="1" applyBorder="1" applyAlignment="1" applyProtection="1">
      <alignment horizontal="right" vertical="center" wrapText="1"/>
    </xf>
    <xf numFmtId="0" fontId="0" fillId="42" borderId="67" xfId="0" applyFont="1" applyFill="1" applyBorder="1" applyAlignment="1" applyProtection="1">
      <alignment horizontal="right" vertical="center" wrapText="1"/>
    </xf>
    <xf numFmtId="0" fontId="20" fillId="0" borderId="23" xfId="0" applyFont="1" applyFill="1" applyBorder="1" applyAlignment="1" applyProtection="1">
      <alignment horizontal="left" vertical="center" wrapText="1"/>
    </xf>
    <xf numFmtId="0" fontId="20" fillId="0" borderId="0" xfId="0" applyFont="1" applyFill="1" applyBorder="1" applyAlignment="1" applyProtection="1">
      <alignment horizontal="left" vertical="center" wrapText="1"/>
    </xf>
    <xf numFmtId="0" fontId="20" fillId="0" borderId="43" xfId="0" applyFont="1" applyFill="1" applyBorder="1" applyAlignment="1" applyProtection="1">
      <alignment horizontal="left" vertical="center" wrapText="1"/>
    </xf>
    <xf numFmtId="44" fontId="70" fillId="0" borderId="16" xfId="0" applyNumberFormat="1" applyFont="1" applyBorder="1" applyAlignment="1" applyProtection="1">
      <alignment horizontal="center" vertical="center" wrapText="1"/>
    </xf>
    <xf numFmtId="0" fontId="70" fillId="0" borderId="17" xfId="0" applyFont="1" applyBorder="1" applyAlignment="1" applyProtection="1">
      <alignment horizontal="center" vertical="center" wrapText="1"/>
    </xf>
    <xf numFmtId="0" fontId="70" fillId="0" borderId="37" xfId="0" applyFont="1" applyBorder="1" applyAlignment="1" applyProtection="1">
      <alignment horizontal="center" vertical="center" wrapText="1"/>
    </xf>
    <xf numFmtId="0" fontId="70" fillId="0" borderId="23" xfId="0" applyFont="1" applyBorder="1" applyAlignment="1" applyProtection="1">
      <alignment horizontal="center" vertical="center" wrapText="1"/>
    </xf>
    <xf numFmtId="0" fontId="70" fillId="0" borderId="0" xfId="0" applyFont="1" applyBorder="1" applyAlignment="1" applyProtection="1">
      <alignment horizontal="center" vertical="center" wrapText="1"/>
    </xf>
    <xf numFmtId="0" fontId="70" fillId="0" borderId="43" xfId="0" applyFont="1" applyBorder="1" applyAlignment="1" applyProtection="1">
      <alignment horizontal="center" vertical="center" wrapText="1"/>
    </xf>
    <xf numFmtId="0" fontId="19" fillId="0" borderId="30" xfId="0" applyFont="1" applyBorder="1" applyAlignment="1" applyProtection="1">
      <alignment horizontal="left" vertical="top" wrapText="1"/>
    </xf>
    <xf numFmtId="0" fontId="19" fillId="0" borderId="0" xfId="0" applyFont="1" applyBorder="1" applyAlignment="1" applyProtection="1">
      <alignment horizontal="left" vertical="top" wrapText="1"/>
    </xf>
    <xf numFmtId="44" fontId="0" fillId="0" borderId="44" xfId="0" applyNumberFormat="1" applyBorder="1" applyAlignment="1" applyProtection="1">
      <alignment horizontal="center"/>
    </xf>
    <xf numFmtId="0" fontId="1" fillId="0" borderId="17" xfId="0" applyFont="1" applyBorder="1" applyAlignment="1" applyProtection="1">
      <alignment horizontal="center" vertical="center" wrapText="1"/>
    </xf>
    <xf numFmtId="0" fontId="65" fillId="43" borderId="17" xfId="0" applyFont="1" applyFill="1" applyBorder="1" applyAlignment="1" applyProtection="1">
      <alignment horizontal="left" vertical="center"/>
    </xf>
    <xf numFmtId="0" fontId="65" fillId="43" borderId="19" xfId="0" applyFont="1" applyFill="1" applyBorder="1" applyAlignment="1" applyProtection="1">
      <alignment horizontal="left" vertical="center"/>
    </xf>
    <xf numFmtId="0" fontId="71" fillId="43" borderId="48" xfId="0" applyFont="1" applyFill="1" applyBorder="1" applyAlignment="1" applyProtection="1">
      <alignment horizontal="center" vertical="center"/>
    </xf>
    <xf numFmtId="0" fontId="71" fillId="43" borderId="17" xfId="0" applyFont="1" applyFill="1" applyBorder="1" applyAlignment="1" applyProtection="1">
      <alignment horizontal="center" vertical="center"/>
    </xf>
    <xf numFmtId="0" fontId="71" fillId="43" borderId="50" xfId="0" applyFont="1" applyFill="1" applyBorder="1" applyAlignment="1" applyProtection="1">
      <alignment horizontal="center" vertical="center"/>
    </xf>
    <xf numFmtId="0" fontId="71" fillId="43" borderId="19" xfId="0" applyFont="1" applyFill="1" applyBorder="1" applyAlignment="1" applyProtection="1">
      <alignment horizontal="center" vertical="center"/>
    </xf>
    <xf numFmtId="0" fontId="72" fillId="0" borderId="17" xfId="0" applyFont="1" applyBorder="1" applyAlignment="1" applyProtection="1">
      <alignment horizontal="right" vertical="center" wrapText="1"/>
    </xf>
    <xf numFmtId="0" fontId="72" fillId="0" borderId="37" xfId="0" applyFont="1" applyBorder="1" applyAlignment="1" applyProtection="1">
      <alignment horizontal="right" vertical="center" wrapText="1"/>
    </xf>
    <xf numFmtId="0" fontId="72" fillId="0" borderId="19" xfId="0" applyFont="1" applyBorder="1" applyAlignment="1" applyProtection="1">
      <alignment horizontal="right" vertical="center" wrapText="1"/>
    </xf>
    <xf numFmtId="0" fontId="72" fillId="0" borderId="25" xfId="0" applyFont="1" applyBorder="1" applyAlignment="1" applyProtection="1">
      <alignment horizontal="right" vertical="center" wrapText="1"/>
    </xf>
    <xf numFmtId="0" fontId="0" fillId="0" borderId="73" xfId="0" applyFill="1" applyBorder="1" applyAlignment="1" applyProtection="1">
      <alignment horizontal="center"/>
    </xf>
    <xf numFmtId="0" fontId="0" fillId="0" borderId="74" xfId="0" applyFill="1" applyBorder="1" applyAlignment="1" applyProtection="1">
      <alignment horizontal="center"/>
    </xf>
    <xf numFmtId="0" fontId="0" fillId="0" borderId="79" xfId="0" applyFill="1" applyBorder="1" applyAlignment="1" applyProtection="1">
      <alignment horizontal="center"/>
    </xf>
  </cellXfs>
  <cellStyles count="5">
    <cellStyle name="Monétaire" xfId="1" builtinId="4"/>
    <cellStyle name="Normal" xfId="0" builtinId="0"/>
    <cellStyle name="Normal 2" xfId="2" xr:uid="{418F2876-A60B-4D47-9469-D70E43B11731}"/>
    <cellStyle name="Normal 3" xfId="3" xr:uid="{95DE784E-ACDC-4FB7-82CB-14E1A97A55A0}"/>
    <cellStyle name="Normal 4" xfId="4" xr:uid="{1E0A6A6A-EECA-4F2E-9DB6-509C874C6136}"/>
  </cellStyles>
  <dxfs count="20">
    <dxf>
      <fill>
        <patternFill patternType="lightUp"/>
      </fill>
    </dxf>
    <dxf>
      <fill>
        <patternFill patternType="lightUp"/>
      </fill>
    </dxf>
    <dxf>
      <font>
        <b/>
        <i val="0"/>
      </font>
    </dxf>
    <dxf>
      <font>
        <b/>
        <i val="0"/>
        <color theme="0"/>
      </font>
      <fill>
        <patternFill>
          <bgColor theme="6"/>
        </patternFill>
      </fill>
    </dxf>
    <dxf>
      <font>
        <b/>
        <i val="0"/>
      </font>
      <fill>
        <patternFill>
          <bgColor theme="6" tint="0.39994506668294322"/>
        </patternFill>
      </fill>
    </dxf>
    <dxf>
      <font>
        <b/>
        <i val="0"/>
      </font>
    </dxf>
    <dxf>
      <font>
        <b/>
        <i val="0"/>
      </font>
      <fill>
        <patternFill>
          <bgColor theme="6" tint="0.39994506668294322"/>
        </patternFill>
      </fill>
    </dxf>
    <dxf>
      <fill>
        <patternFill>
          <bgColor theme="7" tint="0.59996337778862885"/>
        </patternFill>
      </fill>
    </dxf>
    <dxf>
      <font>
        <b val="0"/>
        <i val="0"/>
        <strike val="0"/>
      </font>
      <fill>
        <patternFill patternType="none">
          <bgColor indexed="65"/>
        </patternFill>
      </fill>
    </dxf>
    <dxf>
      <font>
        <b val="0"/>
        <i val="0"/>
        <strike val="0"/>
      </font>
      <fill>
        <patternFill patternType="none">
          <bgColor indexed="65"/>
        </patternFill>
      </fill>
    </dxf>
    <dxf>
      <fill>
        <patternFill>
          <bgColor theme="8" tint="0.39994506668294322"/>
        </patternFill>
      </fill>
    </dxf>
    <dxf>
      <fill>
        <patternFill>
          <bgColor theme="7" tint="0.59996337778862885"/>
        </patternFill>
      </fill>
    </dxf>
    <dxf>
      <fill>
        <patternFill patternType="lightUp"/>
      </fill>
    </dxf>
    <dxf>
      <fill>
        <patternFill patternType="lightUp"/>
      </fill>
    </dxf>
    <dxf>
      <fill>
        <patternFill>
          <bgColor theme="6"/>
        </patternFill>
      </fill>
    </dxf>
    <dxf>
      <fill>
        <patternFill>
          <bgColor theme="8"/>
        </patternFill>
      </fill>
    </dxf>
    <dxf>
      <fill>
        <patternFill>
          <bgColor theme="6"/>
        </patternFill>
      </fill>
    </dxf>
    <dxf>
      <fill>
        <patternFill>
          <bgColor theme="7"/>
        </patternFill>
      </fill>
    </dxf>
    <dxf>
      <font>
        <b/>
        <i val="0"/>
      </font>
    </dxf>
    <dxf>
      <font>
        <b/>
        <i val="0"/>
        <color theme="3"/>
      </font>
      <fill>
        <patternFill>
          <bgColor theme="0" tint="-0.1499679555650502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47625</xdr:colOff>
      <xdr:row>161</xdr:row>
      <xdr:rowOff>57150</xdr:rowOff>
    </xdr:from>
    <xdr:to>
      <xdr:col>5</xdr:col>
      <xdr:colOff>47625</xdr:colOff>
      <xdr:row>162</xdr:row>
      <xdr:rowOff>152400</xdr:rowOff>
    </xdr:to>
    <xdr:pic>
      <xdr:nvPicPr>
        <xdr:cNvPr id="12002" name="Image 6">
          <a:extLst>
            <a:ext uri="{FF2B5EF4-FFF2-40B4-BE49-F238E27FC236}">
              <a16:creationId xmlns:a16="http://schemas.microsoft.com/office/drawing/2014/main" id="{686296AF-7B96-0FC7-5274-AEC4F23157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8600" y="476250"/>
          <a:ext cx="7620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66676</xdr:colOff>
      <xdr:row>291</xdr:row>
      <xdr:rowOff>47626</xdr:rowOff>
    </xdr:from>
    <xdr:to>
      <xdr:col>3</xdr:col>
      <xdr:colOff>0</xdr:colOff>
      <xdr:row>292</xdr:row>
      <xdr:rowOff>28576</xdr:rowOff>
    </xdr:to>
    <xdr:sp macro="" textlink="">
      <xdr:nvSpPr>
        <xdr:cNvPr id="6" name="Flèche droite 5">
          <a:extLst>
            <a:ext uri="{FF2B5EF4-FFF2-40B4-BE49-F238E27FC236}">
              <a16:creationId xmlns:a16="http://schemas.microsoft.com/office/drawing/2014/main" id="{1CAC8FC7-AA57-6109-D58B-736B2B84964F}"/>
            </a:ext>
          </a:extLst>
        </xdr:cNvPr>
        <xdr:cNvSpPr/>
      </xdr:nvSpPr>
      <xdr:spPr>
        <a:xfrm>
          <a:off x="352426" y="22583776"/>
          <a:ext cx="152399" cy="133350"/>
        </a:xfrm>
        <a:prstGeom prst="rightArrow">
          <a:avLst/>
        </a:prstGeom>
        <a:ln w="12700">
          <a:solidFill>
            <a:schemeClr val="tx1"/>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rtlCol="0" anchor="ctr"/>
        <a:lstStyle/>
        <a:p>
          <a:endParaRPr lang="fr-FR"/>
        </a:p>
      </xdr:txBody>
    </xdr:sp>
    <xdr:clientData/>
  </xdr:twoCellAnchor>
  <xdr:twoCellAnchor>
    <xdr:from>
      <xdr:col>2</xdr:col>
      <xdr:colOff>168276</xdr:colOff>
      <xdr:row>283</xdr:row>
      <xdr:rowOff>9526</xdr:rowOff>
    </xdr:from>
    <xdr:to>
      <xdr:col>3</xdr:col>
      <xdr:colOff>73025</xdr:colOff>
      <xdr:row>283</xdr:row>
      <xdr:rowOff>142876</xdr:rowOff>
    </xdr:to>
    <xdr:sp macro="" textlink="">
      <xdr:nvSpPr>
        <xdr:cNvPr id="7" name="Flèche droite 6">
          <a:extLst>
            <a:ext uri="{FF2B5EF4-FFF2-40B4-BE49-F238E27FC236}">
              <a16:creationId xmlns:a16="http://schemas.microsoft.com/office/drawing/2014/main" id="{978CAFAF-7452-8F38-9FE7-F1689B3C360C}"/>
            </a:ext>
          </a:extLst>
        </xdr:cNvPr>
        <xdr:cNvSpPr/>
      </xdr:nvSpPr>
      <xdr:spPr>
        <a:xfrm>
          <a:off x="457201" y="21031201"/>
          <a:ext cx="123824" cy="133350"/>
        </a:xfrm>
        <a:prstGeom prst="rightArrow">
          <a:avLst/>
        </a:prstGeom>
        <a:ln w="12700">
          <a:solidFill>
            <a:schemeClr val="tx1"/>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rtlCol="0" anchor="ctr"/>
        <a:lstStyle/>
        <a:p>
          <a:endParaRPr lang="fr-FR"/>
        </a:p>
      </xdr:txBody>
    </xdr:sp>
    <xdr:clientData/>
  </xdr:twoCellAnchor>
  <xdr:twoCellAnchor>
    <xdr:from>
      <xdr:col>33</xdr:col>
      <xdr:colOff>47625</xdr:colOff>
      <xdr:row>164</xdr:row>
      <xdr:rowOff>0</xdr:rowOff>
    </xdr:from>
    <xdr:to>
      <xdr:col>38</xdr:col>
      <xdr:colOff>409575</xdr:colOff>
      <xdr:row>167</xdr:row>
      <xdr:rowOff>104775</xdr:rowOff>
    </xdr:to>
    <xdr:grpSp>
      <xdr:nvGrpSpPr>
        <xdr:cNvPr id="12005" name="Groupe 14">
          <a:extLst>
            <a:ext uri="{FF2B5EF4-FFF2-40B4-BE49-F238E27FC236}">
              <a16:creationId xmlns:a16="http://schemas.microsoft.com/office/drawing/2014/main" id="{1E1CD1CE-CE1D-2712-A9B2-387B93FDF796}"/>
            </a:ext>
          </a:extLst>
        </xdr:cNvPr>
        <xdr:cNvGrpSpPr>
          <a:grpSpLocks/>
        </xdr:cNvGrpSpPr>
      </xdr:nvGrpSpPr>
      <xdr:grpSpPr bwMode="auto">
        <a:xfrm>
          <a:off x="11811000" y="990600"/>
          <a:ext cx="2981325" cy="581025"/>
          <a:chOff x="10848974" y="1476375"/>
          <a:chExt cx="2886075" cy="590550"/>
        </a:xfrm>
      </xdr:grpSpPr>
      <xdr:pic>
        <xdr:nvPicPr>
          <xdr:cNvPr id="12014" name="Picture 77">
            <a:extLst>
              <a:ext uri="{FF2B5EF4-FFF2-40B4-BE49-F238E27FC236}">
                <a16:creationId xmlns:a16="http://schemas.microsoft.com/office/drawing/2014/main" id="{B7B5C7F4-A402-2AEC-056E-8DB49FFD0A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029950" y="1476375"/>
            <a:ext cx="2400300"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sp macro="" textlink="">
        <xdr:nvSpPr>
          <xdr:cNvPr id="13" name="Ellipse 12">
            <a:extLst>
              <a:ext uri="{FF2B5EF4-FFF2-40B4-BE49-F238E27FC236}">
                <a16:creationId xmlns:a16="http://schemas.microsoft.com/office/drawing/2014/main" id="{B7D0C0E2-745A-FE25-FEF1-841CCFF422ED}"/>
              </a:ext>
            </a:extLst>
          </xdr:cNvPr>
          <xdr:cNvSpPr/>
        </xdr:nvSpPr>
        <xdr:spPr>
          <a:xfrm>
            <a:off x="10848974" y="1534462"/>
            <a:ext cx="2886075" cy="532463"/>
          </a:xfrm>
          <a:prstGeom prst="ellipse">
            <a:avLst/>
          </a:prstGeom>
          <a:noFill/>
          <a:ln>
            <a:solidFill>
              <a:schemeClr val="accent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fr-FR"/>
          </a:p>
        </xdr:txBody>
      </xdr:sp>
    </xdr:grpSp>
    <xdr:clientData/>
  </xdr:twoCellAnchor>
  <xdr:twoCellAnchor>
    <xdr:from>
      <xdr:col>30</xdr:col>
      <xdr:colOff>104775</xdr:colOff>
      <xdr:row>160</xdr:row>
      <xdr:rowOff>66675</xdr:rowOff>
    </xdr:from>
    <xdr:to>
      <xdr:col>30</xdr:col>
      <xdr:colOff>650894</xdr:colOff>
      <xdr:row>161</xdr:row>
      <xdr:rowOff>76200</xdr:rowOff>
    </xdr:to>
    <xdr:sp macro="" textlink="">
      <xdr:nvSpPr>
        <xdr:cNvPr id="2" name="Flèche gauche 1">
          <a:extLst>
            <a:ext uri="{FF2B5EF4-FFF2-40B4-BE49-F238E27FC236}">
              <a16:creationId xmlns:a16="http://schemas.microsoft.com/office/drawing/2014/main" id="{8A02B1F0-B198-D78E-3D81-D707F459CF3F}"/>
            </a:ext>
          </a:extLst>
        </xdr:cNvPr>
        <xdr:cNvSpPr/>
      </xdr:nvSpPr>
      <xdr:spPr>
        <a:xfrm>
          <a:off x="9115425" y="333375"/>
          <a:ext cx="542925" cy="161925"/>
        </a:xfrm>
        <a:prstGeom prst="leftArrow">
          <a:avLst/>
        </a:prstGeom>
        <a:ln w="12700"/>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endParaRPr lang="fr-FR"/>
        </a:p>
      </xdr:txBody>
    </xdr:sp>
    <xdr:clientData/>
  </xdr:twoCellAnchor>
  <xdr:twoCellAnchor>
    <xdr:from>
      <xdr:col>31</xdr:col>
      <xdr:colOff>215900</xdr:colOff>
      <xdr:row>185</xdr:row>
      <xdr:rowOff>22225</xdr:rowOff>
    </xdr:from>
    <xdr:to>
      <xdr:col>31</xdr:col>
      <xdr:colOff>362023</xdr:colOff>
      <xdr:row>187</xdr:row>
      <xdr:rowOff>58</xdr:rowOff>
    </xdr:to>
    <xdr:sp macro="" textlink="">
      <xdr:nvSpPr>
        <xdr:cNvPr id="3" name="Accolade fermante 2">
          <a:extLst>
            <a:ext uri="{FF2B5EF4-FFF2-40B4-BE49-F238E27FC236}">
              <a16:creationId xmlns:a16="http://schemas.microsoft.com/office/drawing/2014/main" id="{0AE13F87-548E-5F78-AC61-4C9DA2DFE129}"/>
            </a:ext>
          </a:extLst>
        </xdr:cNvPr>
        <xdr:cNvSpPr/>
      </xdr:nvSpPr>
      <xdr:spPr>
        <a:xfrm flipH="1">
          <a:off x="9496425" y="3238500"/>
          <a:ext cx="142875" cy="352425"/>
        </a:xfrm>
        <a:prstGeom prst="rightBrace">
          <a:avLst/>
        </a:prstGeom>
        <a:ln w="38100"/>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endParaRPr lang="fr-FR"/>
        </a:p>
      </xdr:txBody>
    </xdr:sp>
    <xdr:clientData/>
  </xdr:twoCellAnchor>
  <xdr:twoCellAnchor>
    <xdr:from>
      <xdr:col>31</xdr:col>
      <xdr:colOff>215900</xdr:colOff>
      <xdr:row>188</xdr:row>
      <xdr:rowOff>9525</xdr:rowOff>
    </xdr:from>
    <xdr:to>
      <xdr:col>31</xdr:col>
      <xdr:colOff>362023</xdr:colOff>
      <xdr:row>189</xdr:row>
      <xdr:rowOff>171450</xdr:rowOff>
    </xdr:to>
    <xdr:sp macro="" textlink="">
      <xdr:nvSpPr>
        <xdr:cNvPr id="23" name="Accolade fermante 22">
          <a:extLst>
            <a:ext uri="{FF2B5EF4-FFF2-40B4-BE49-F238E27FC236}">
              <a16:creationId xmlns:a16="http://schemas.microsoft.com/office/drawing/2014/main" id="{DA86B94F-254D-CD55-6958-BB0889FCAEB8}"/>
            </a:ext>
          </a:extLst>
        </xdr:cNvPr>
        <xdr:cNvSpPr/>
      </xdr:nvSpPr>
      <xdr:spPr>
        <a:xfrm flipH="1">
          <a:off x="9496425" y="3790950"/>
          <a:ext cx="142875" cy="352425"/>
        </a:xfrm>
        <a:prstGeom prst="rightBrace">
          <a:avLst/>
        </a:prstGeom>
        <a:ln w="38100"/>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endParaRPr lang="fr-FR"/>
        </a:p>
      </xdr:txBody>
    </xdr:sp>
    <xdr:clientData/>
  </xdr:twoCellAnchor>
  <xdr:twoCellAnchor editAs="oneCell">
    <xdr:from>
      <xdr:col>37</xdr:col>
      <xdr:colOff>180975</xdr:colOff>
      <xdr:row>183</xdr:row>
      <xdr:rowOff>47625</xdr:rowOff>
    </xdr:from>
    <xdr:to>
      <xdr:col>37</xdr:col>
      <xdr:colOff>609600</xdr:colOff>
      <xdr:row>184</xdr:row>
      <xdr:rowOff>171450</xdr:rowOff>
    </xdr:to>
    <xdr:pic>
      <xdr:nvPicPr>
        <xdr:cNvPr id="12009" name="Image 23">
          <a:extLst>
            <a:ext uri="{FF2B5EF4-FFF2-40B4-BE49-F238E27FC236}">
              <a16:creationId xmlns:a16="http://schemas.microsoft.com/office/drawing/2014/main" id="{AF996CEC-6767-0776-29D8-4BF01F69E67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916025" y="4448175"/>
          <a:ext cx="42862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304801</xdr:colOff>
      <xdr:row>297</xdr:row>
      <xdr:rowOff>85725</xdr:rowOff>
    </xdr:from>
    <xdr:to>
      <xdr:col>5</xdr:col>
      <xdr:colOff>66676</xdr:colOff>
      <xdr:row>298</xdr:row>
      <xdr:rowOff>76200</xdr:rowOff>
    </xdr:to>
    <xdr:sp macro="" textlink="">
      <xdr:nvSpPr>
        <xdr:cNvPr id="24" name="Flèche droite 23">
          <a:extLst>
            <a:ext uri="{FF2B5EF4-FFF2-40B4-BE49-F238E27FC236}">
              <a16:creationId xmlns:a16="http://schemas.microsoft.com/office/drawing/2014/main" id="{5E36D969-DDED-DB73-3DE3-BD8B23906D30}"/>
            </a:ext>
          </a:extLst>
        </xdr:cNvPr>
        <xdr:cNvSpPr/>
      </xdr:nvSpPr>
      <xdr:spPr>
        <a:xfrm>
          <a:off x="876301" y="23088600"/>
          <a:ext cx="152400" cy="142875"/>
        </a:xfrm>
        <a:prstGeom prst="rightArrow">
          <a:avLst/>
        </a:prstGeom>
        <a:ln w="12700">
          <a:solidFill>
            <a:schemeClr val="tx1"/>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rtlCol="0" anchor="ctr"/>
        <a:lstStyle/>
        <a:p>
          <a:endParaRPr lang="fr-FR"/>
        </a:p>
      </xdr:txBody>
    </xdr:sp>
    <xdr:clientData/>
  </xdr:twoCellAnchor>
  <xdr:twoCellAnchor>
    <xdr:from>
      <xdr:col>16</xdr:col>
      <xdr:colOff>250826</xdr:colOff>
      <xdr:row>280</xdr:row>
      <xdr:rowOff>28575</xdr:rowOff>
    </xdr:from>
    <xdr:to>
      <xdr:col>17</xdr:col>
      <xdr:colOff>9565</xdr:colOff>
      <xdr:row>281</xdr:row>
      <xdr:rowOff>19050</xdr:rowOff>
    </xdr:to>
    <xdr:sp macro="" textlink="">
      <xdr:nvSpPr>
        <xdr:cNvPr id="26" name="Flèche droite 25">
          <a:extLst>
            <a:ext uri="{FF2B5EF4-FFF2-40B4-BE49-F238E27FC236}">
              <a16:creationId xmlns:a16="http://schemas.microsoft.com/office/drawing/2014/main" id="{B417B2D4-EBC4-5A11-11C2-2586839B1248}"/>
            </a:ext>
          </a:extLst>
        </xdr:cNvPr>
        <xdr:cNvSpPr/>
      </xdr:nvSpPr>
      <xdr:spPr>
        <a:xfrm>
          <a:off x="5114926" y="20669250"/>
          <a:ext cx="152400" cy="142875"/>
        </a:xfrm>
        <a:prstGeom prst="rightArrow">
          <a:avLst/>
        </a:prstGeom>
        <a:ln w="12700">
          <a:solidFill>
            <a:schemeClr val="tx1"/>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rtlCol="0" anchor="ctr"/>
        <a:lstStyle/>
        <a:p>
          <a:endParaRPr lang="fr-FR"/>
        </a:p>
      </xdr:txBody>
    </xdr:sp>
    <xdr:clientData/>
  </xdr:twoCellAnchor>
  <xdr:twoCellAnchor>
    <xdr:from>
      <xdr:col>31</xdr:col>
      <xdr:colOff>19051</xdr:colOff>
      <xdr:row>175</xdr:row>
      <xdr:rowOff>22225</xdr:rowOff>
    </xdr:from>
    <xdr:to>
      <xdr:col>31</xdr:col>
      <xdr:colOff>548905</xdr:colOff>
      <xdr:row>175</xdr:row>
      <xdr:rowOff>174625</xdr:rowOff>
    </xdr:to>
    <xdr:sp macro="" textlink="">
      <xdr:nvSpPr>
        <xdr:cNvPr id="34" name="Flèche gauche 33">
          <a:extLst>
            <a:ext uri="{FF2B5EF4-FFF2-40B4-BE49-F238E27FC236}">
              <a16:creationId xmlns:a16="http://schemas.microsoft.com/office/drawing/2014/main" id="{31B0A753-6874-3780-AF4B-55A3D8F2A3AA}"/>
            </a:ext>
          </a:extLst>
        </xdr:cNvPr>
        <xdr:cNvSpPr/>
      </xdr:nvSpPr>
      <xdr:spPr>
        <a:xfrm>
          <a:off x="9791701" y="2667000"/>
          <a:ext cx="523874" cy="152400"/>
        </a:xfrm>
        <a:prstGeom prst="leftArrow">
          <a:avLst/>
        </a:prstGeom>
        <a:ln w="12700"/>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endParaRPr lang="fr-FR"/>
        </a:p>
      </xdr:txBody>
    </xdr:sp>
    <xdr:clientData/>
  </xdr:twoCellAnchor>
  <xdr:twoCellAnchor editAs="oneCell">
    <xdr:from>
      <xdr:col>33</xdr:col>
      <xdr:colOff>171450</xdr:colOff>
      <xdr:row>242</xdr:row>
      <xdr:rowOff>0</xdr:rowOff>
    </xdr:from>
    <xdr:to>
      <xdr:col>38</xdr:col>
      <xdr:colOff>76200</xdr:colOff>
      <xdr:row>246</xdr:row>
      <xdr:rowOff>19050</xdr:rowOff>
    </xdr:to>
    <xdr:pic>
      <xdr:nvPicPr>
        <xdr:cNvPr id="12013" name="Picture 2137">
          <a:extLst>
            <a:ext uri="{FF2B5EF4-FFF2-40B4-BE49-F238E27FC236}">
              <a16:creationId xmlns:a16="http://schemas.microsoft.com/office/drawing/2014/main" id="{8631D32D-FE98-5D2A-1EBC-23B618A691B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l="2679" t="37810" r="80296" b="55905"/>
        <a:stretch>
          <a:fillRect/>
        </a:stretch>
      </xdr:blipFill>
      <xdr:spPr bwMode="auto">
        <a:xfrm>
          <a:off x="11934825" y="15135225"/>
          <a:ext cx="272415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47625</xdr:colOff>
      <xdr:row>17</xdr:row>
      <xdr:rowOff>57150</xdr:rowOff>
    </xdr:from>
    <xdr:to>
      <xdr:col>3</xdr:col>
      <xdr:colOff>47625</xdr:colOff>
      <xdr:row>18</xdr:row>
      <xdr:rowOff>152400</xdr:rowOff>
    </xdr:to>
    <xdr:pic>
      <xdr:nvPicPr>
        <xdr:cNvPr id="3588" name="Image 6">
          <a:extLst>
            <a:ext uri="{FF2B5EF4-FFF2-40B4-BE49-F238E27FC236}">
              <a16:creationId xmlns:a16="http://schemas.microsoft.com/office/drawing/2014/main" id="{90870439-8824-03C9-281D-7FD51230B4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8600" y="476250"/>
          <a:ext cx="7810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47625</xdr:colOff>
      <xdr:row>80</xdr:row>
      <xdr:rowOff>57150</xdr:rowOff>
    </xdr:from>
    <xdr:to>
      <xdr:col>3</xdr:col>
      <xdr:colOff>47625</xdr:colOff>
      <xdr:row>81</xdr:row>
      <xdr:rowOff>152400</xdr:rowOff>
    </xdr:to>
    <xdr:pic>
      <xdr:nvPicPr>
        <xdr:cNvPr id="3589" name="Image 6">
          <a:extLst>
            <a:ext uri="{FF2B5EF4-FFF2-40B4-BE49-F238E27FC236}">
              <a16:creationId xmlns:a16="http://schemas.microsoft.com/office/drawing/2014/main" id="{2EE0CC65-B655-BF03-8873-725A2F6A9B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8600" y="12506325"/>
          <a:ext cx="7810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47625</xdr:colOff>
      <xdr:row>80</xdr:row>
      <xdr:rowOff>57150</xdr:rowOff>
    </xdr:from>
    <xdr:to>
      <xdr:col>3</xdr:col>
      <xdr:colOff>47625</xdr:colOff>
      <xdr:row>81</xdr:row>
      <xdr:rowOff>152400</xdr:rowOff>
    </xdr:to>
    <xdr:pic>
      <xdr:nvPicPr>
        <xdr:cNvPr id="3590" name="Image 6">
          <a:extLst>
            <a:ext uri="{FF2B5EF4-FFF2-40B4-BE49-F238E27FC236}">
              <a16:creationId xmlns:a16="http://schemas.microsoft.com/office/drawing/2014/main" id="{B721B538-19AC-AEC0-B4AD-6F03DB865C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8600" y="12506325"/>
          <a:ext cx="7810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B5239-CAF3-4B69-A572-3425B11D085F}">
  <sheetPr codeName="Feuil1">
    <tabColor rgb="FF7030A0"/>
    <pageSetUpPr fitToPage="1"/>
  </sheetPr>
  <dimension ref="A1:BE318"/>
  <sheetViews>
    <sheetView showGridLines="0" showRowColHeaders="0" tabSelected="1" topLeftCell="A229" zoomScaleNormal="100" workbookViewId="0">
      <selection activeCell="T186" sqref="T186:V187"/>
    </sheetView>
  </sheetViews>
  <sheetFormatPr baseColWidth="10" defaultRowHeight="15" x14ac:dyDescent="0.25"/>
  <cols>
    <col min="1" max="1" width="2.7109375" style="6" customWidth="1"/>
    <col min="2" max="2" width="1.5703125" style="6" customWidth="1"/>
    <col min="3" max="5" width="3.28515625" style="6" customWidth="1"/>
    <col min="6" max="7" width="5.85546875" style="6" customWidth="1"/>
    <col min="8" max="8" width="6.140625" style="6" customWidth="1"/>
    <col min="9" max="12" width="5.85546875" style="6" customWidth="1"/>
    <col min="13" max="13" width="1.7109375" style="6" customWidth="1"/>
    <col min="14" max="14" width="3.28515625" style="6" customWidth="1"/>
    <col min="15" max="19" width="5.85546875" style="6" customWidth="1"/>
    <col min="20" max="20" width="5.85546875" style="11" customWidth="1"/>
    <col min="21" max="21" width="5.85546875" style="6" customWidth="1"/>
    <col min="22" max="22" width="5.85546875" style="12" customWidth="1"/>
    <col min="23" max="23" width="2.7109375" style="13" customWidth="1"/>
    <col min="24" max="27" width="2.7109375" style="6" customWidth="1"/>
    <col min="28" max="28" width="4.7109375" style="7" customWidth="1"/>
    <col min="29" max="29" width="3.7109375" style="7" customWidth="1"/>
    <col min="30" max="30" width="11.42578125" style="7" customWidth="1"/>
    <col min="31" max="32" width="11.42578125" style="6"/>
    <col min="33" max="33" width="12.85546875" style="6" bestFit="1" customWidth="1"/>
    <col min="34" max="34" width="3" style="6" customWidth="1"/>
    <col min="35" max="35" width="11.42578125" style="6"/>
    <col min="36" max="36" width="3.7109375" style="6" customWidth="1"/>
    <col min="37" max="37" width="11.42578125" style="8"/>
    <col min="38" max="38" width="12.7109375" style="6" customWidth="1"/>
    <col min="39" max="39" width="3.140625" style="6" customWidth="1"/>
    <col min="40" max="16384" width="11.42578125" style="6"/>
  </cols>
  <sheetData>
    <row r="1" spans="2:37" ht="10.5" customHeight="1" x14ac:dyDescent="0.25">
      <c r="B1" s="412" t="s">
        <v>0</v>
      </c>
      <c r="C1" s="413"/>
      <c r="D1" s="413"/>
      <c r="E1" s="413"/>
      <c r="F1" s="413"/>
      <c r="G1" s="413"/>
      <c r="H1" s="413"/>
      <c r="I1" s="413"/>
      <c r="J1" s="413"/>
      <c r="K1" s="413"/>
      <c r="L1" s="413"/>
      <c r="M1" s="413"/>
      <c r="N1" s="413"/>
      <c r="O1" s="413"/>
      <c r="P1" s="1"/>
      <c r="Q1" s="2"/>
      <c r="R1" s="3"/>
      <c r="S1" s="3"/>
      <c r="T1" s="3"/>
      <c r="U1" s="3"/>
      <c r="V1" s="4"/>
      <c r="W1" s="5"/>
      <c r="AA1" s="80"/>
    </row>
    <row r="2" spans="2:37" ht="10.5" hidden="1" customHeight="1" x14ac:dyDescent="0.25">
      <c r="B2" s="9"/>
      <c r="C2" s="9"/>
      <c r="D2" s="9"/>
      <c r="E2" s="9"/>
      <c r="F2" s="9"/>
      <c r="G2" s="9"/>
      <c r="H2" s="9"/>
      <c r="I2" s="9"/>
      <c r="J2" s="9"/>
      <c r="K2" s="9"/>
      <c r="L2" s="9"/>
      <c r="M2" s="9"/>
      <c r="N2" s="9"/>
      <c r="O2" s="9"/>
      <c r="P2" s="5"/>
      <c r="Q2" s="10"/>
      <c r="R2" s="5"/>
      <c r="S2" s="5"/>
      <c r="T2" s="5"/>
      <c r="U2" s="5"/>
      <c r="V2" s="5"/>
      <c r="W2" s="5"/>
    </row>
    <row r="3" spans="2:37" ht="10.5" hidden="1" customHeight="1" x14ac:dyDescent="0.25">
      <c r="B3" s="9"/>
      <c r="C3" s="9"/>
    </row>
    <row r="4" spans="2:37" s="14" customFormat="1" ht="10.5" hidden="1" customHeight="1" x14ac:dyDescent="0.2">
      <c r="B4" s="9"/>
      <c r="C4" s="9"/>
    </row>
    <row r="5" spans="2:37" s="14" customFormat="1" ht="10.5" hidden="1" customHeight="1" x14ac:dyDescent="0.2">
      <c r="B5" s="9"/>
      <c r="C5" s="9"/>
      <c r="D5" s="15" t="s">
        <v>56</v>
      </c>
      <c r="E5" s="177"/>
      <c r="F5" s="9"/>
      <c r="G5" s="9"/>
      <c r="H5" s="9"/>
      <c r="I5" s="9"/>
      <c r="J5" s="16" t="s">
        <v>57</v>
      </c>
      <c r="K5" s="9"/>
      <c r="L5" s="9"/>
      <c r="M5" s="9"/>
      <c r="N5" s="9"/>
      <c r="P5" s="17" t="s">
        <v>58</v>
      </c>
      <c r="Q5" s="18"/>
      <c r="R5" s="19"/>
      <c r="S5" s="18"/>
      <c r="T5" s="18"/>
      <c r="U5" s="20" t="s">
        <v>59</v>
      </c>
      <c r="V5" s="18"/>
      <c r="W5" s="18"/>
      <c r="AF5" s="21" t="s">
        <v>60</v>
      </c>
      <c r="AK5" s="22" t="s">
        <v>61</v>
      </c>
    </row>
    <row r="6" spans="2:37" s="14" customFormat="1" ht="10.5" hidden="1" customHeight="1" x14ac:dyDescent="0.2">
      <c r="B6" s="9"/>
      <c r="C6" s="9"/>
      <c r="D6" s="23" t="s">
        <v>43</v>
      </c>
      <c r="E6" s="23"/>
      <c r="F6" s="24"/>
      <c r="G6" s="24"/>
      <c r="H6" s="24"/>
      <c r="I6" s="24"/>
      <c r="J6" s="23" t="s">
        <v>63</v>
      </c>
      <c r="K6" s="24"/>
      <c r="L6" s="24"/>
      <c r="M6" s="24"/>
      <c r="N6" s="24"/>
      <c r="O6" s="25"/>
      <c r="P6" s="23" t="s">
        <v>65</v>
      </c>
      <c r="Q6" s="24"/>
      <c r="R6" s="26"/>
      <c r="S6" s="24"/>
      <c r="T6" s="24"/>
      <c r="U6" s="23" t="s">
        <v>68</v>
      </c>
      <c r="V6" s="24"/>
      <c r="W6" s="24"/>
      <c r="X6" s="25"/>
      <c r="Y6" s="25"/>
      <c r="Z6" s="25"/>
      <c r="AA6" s="25"/>
      <c r="AB6" s="25"/>
      <c r="AC6" s="25"/>
      <c r="AD6" s="25"/>
      <c r="AE6" s="25"/>
      <c r="AF6" s="23" t="s">
        <v>70</v>
      </c>
      <c r="AG6" s="25"/>
      <c r="AH6" s="25"/>
      <c r="AI6" s="25"/>
      <c r="AJ6" s="25"/>
      <c r="AK6" s="23" t="s">
        <v>72</v>
      </c>
    </row>
    <row r="7" spans="2:37" s="14" customFormat="1" ht="10.5" hidden="1" customHeight="1" x14ac:dyDescent="0.2">
      <c r="B7" s="9"/>
      <c r="C7" s="9"/>
      <c r="D7" s="27" t="s">
        <v>79</v>
      </c>
      <c r="E7" s="178"/>
      <c r="F7" s="9"/>
      <c r="G7" s="9"/>
      <c r="H7" s="9"/>
      <c r="I7" s="9"/>
      <c r="J7" s="27" t="s">
        <v>142</v>
      </c>
      <c r="K7" s="9"/>
      <c r="L7" s="9"/>
      <c r="M7" s="9"/>
      <c r="N7" s="9"/>
      <c r="P7" s="28" t="s">
        <v>62</v>
      </c>
      <c r="Q7" s="18"/>
      <c r="R7" s="19"/>
      <c r="S7" s="18"/>
      <c r="T7" s="18"/>
      <c r="U7" s="29" t="s">
        <v>55</v>
      </c>
      <c r="V7" s="18"/>
      <c r="W7" s="18"/>
      <c r="AF7" s="30" t="s">
        <v>118</v>
      </c>
      <c r="AK7" s="31" t="s">
        <v>156</v>
      </c>
    </row>
    <row r="8" spans="2:37" s="14" customFormat="1" ht="10.5" hidden="1" customHeight="1" x14ac:dyDescent="0.2">
      <c r="B8" s="9"/>
      <c r="C8" s="9"/>
      <c r="D8" s="32" t="s">
        <v>86</v>
      </c>
      <c r="E8" s="179"/>
      <c r="F8" s="9"/>
      <c r="G8" s="9"/>
      <c r="H8" s="9"/>
      <c r="I8" s="9"/>
      <c r="J8" s="33" t="s">
        <v>117</v>
      </c>
      <c r="K8" s="9"/>
      <c r="L8" s="9"/>
      <c r="M8" s="9"/>
      <c r="N8" s="9"/>
      <c r="P8" s="34" t="s">
        <v>64</v>
      </c>
      <c r="Q8" s="18"/>
      <c r="R8" s="19"/>
      <c r="S8" s="18"/>
      <c r="T8" s="18"/>
      <c r="U8" s="35" t="s">
        <v>67</v>
      </c>
      <c r="V8" s="18"/>
      <c r="W8" s="18"/>
      <c r="AF8" s="35" t="s">
        <v>119</v>
      </c>
      <c r="AK8" s="36" t="s">
        <v>156</v>
      </c>
    </row>
    <row r="9" spans="2:37" s="14" customFormat="1" ht="10.5" hidden="1" customHeight="1" x14ac:dyDescent="0.2">
      <c r="B9" s="9"/>
      <c r="C9" s="9"/>
      <c r="D9" s="27" t="s">
        <v>87</v>
      </c>
      <c r="E9" s="178"/>
      <c r="F9" s="9"/>
      <c r="G9" s="9"/>
      <c r="H9" s="9"/>
      <c r="I9" s="9"/>
      <c r="J9" s="27" t="s">
        <v>148</v>
      </c>
      <c r="K9" s="9"/>
      <c r="L9" s="9"/>
      <c r="M9" s="9"/>
      <c r="N9" s="9"/>
      <c r="P9" s="28" t="s">
        <v>69</v>
      </c>
      <c r="Q9" s="18"/>
      <c r="R9" s="19"/>
      <c r="S9" s="18"/>
      <c r="T9" s="18"/>
      <c r="U9" s="29" t="s">
        <v>71</v>
      </c>
      <c r="V9" s="18"/>
      <c r="W9" s="18"/>
      <c r="AF9" s="30" t="s">
        <v>120</v>
      </c>
      <c r="AK9" s="31" t="s">
        <v>156</v>
      </c>
    </row>
    <row r="10" spans="2:37" s="14" customFormat="1" ht="10.5" hidden="1" customHeight="1" x14ac:dyDescent="0.2">
      <c r="B10" s="9"/>
      <c r="C10" s="9"/>
      <c r="D10" s="32" t="s">
        <v>95</v>
      </c>
      <c r="E10" s="179"/>
      <c r="F10" s="9"/>
      <c r="G10" s="9"/>
      <c r="H10" s="9"/>
      <c r="I10" s="9"/>
      <c r="J10" s="33" t="s">
        <v>149</v>
      </c>
      <c r="K10" s="9"/>
      <c r="L10" s="9"/>
      <c r="M10" s="9"/>
      <c r="N10" s="9"/>
      <c r="P10" s="34" t="s">
        <v>98</v>
      </c>
      <c r="Q10" s="18"/>
      <c r="R10" s="19"/>
      <c r="S10" s="18"/>
      <c r="T10" s="18"/>
      <c r="U10" s="35" t="s">
        <v>74</v>
      </c>
      <c r="V10" s="18"/>
      <c r="W10" s="18"/>
      <c r="AF10" s="35" t="s">
        <v>121</v>
      </c>
      <c r="AK10" s="36" t="s">
        <v>156</v>
      </c>
    </row>
    <row r="11" spans="2:37" s="14" customFormat="1" ht="10.5" hidden="1" customHeight="1" x14ac:dyDescent="0.2">
      <c r="B11" s="9"/>
      <c r="C11" s="9"/>
      <c r="D11" s="27" t="s">
        <v>80</v>
      </c>
      <c r="E11" s="178"/>
      <c r="F11" s="9"/>
      <c r="G11" s="9"/>
      <c r="H11" s="9"/>
      <c r="I11" s="9"/>
      <c r="J11" s="27" t="s">
        <v>150</v>
      </c>
      <c r="K11" s="9"/>
      <c r="L11" s="9"/>
      <c r="M11" s="9"/>
      <c r="N11" s="9"/>
      <c r="P11" s="28" t="s">
        <v>111</v>
      </c>
      <c r="Q11" s="18"/>
      <c r="R11" s="19"/>
      <c r="S11" s="18"/>
      <c r="T11" s="18"/>
      <c r="U11" s="29" t="s">
        <v>75</v>
      </c>
      <c r="V11" s="18"/>
      <c r="W11" s="18"/>
      <c r="AF11" s="30" t="s">
        <v>122</v>
      </c>
      <c r="AK11" s="31" t="s">
        <v>156</v>
      </c>
    </row>
    <row r="12" spans="2:37" s="14" customFormat="1" ht="10.5" hidden="1" customHeight="1" x14ac:dyDescent="0.2">
      <c r="B12" s="9"/>
      <c r="C12" s="9"/>
      <c r="D12" s="32" t="s">
        <v>85</v>
      </c>
      <c r="E12" s="179"/>
      <c r="F12" s="9"/>
      <c r="G12" s="9"/>
      <c r="H12" s="9"/>
      <c r="I12" s="9"/>
      <c r="J12" s="33" t="s">
        <v>151</v>
      </c>
      <c r="K12" s="9"/>
      <c r="L12" s="9"/>
      <c r="M12" s="9"/>
      <c r="N12" s="9"/>
      <c r="P12" s="34" t="s">
        <v>133</v>
      </c>
      <c r="Q12" s="18"/>
      <c r="R12" s="19"/>
      <c r="S12" s="18"/>
      <c r="T12" s="18"/>
      <c r="U12" s="35" t="s">
        <v>76</v>
      </c>
      <c r="V12" s="18"/>
      <c r="W12" s="18"/>
      <c r="AF12" s="35" t="s">
        <v>123</v>
      </c>
      <c r="AK12" s="36" t="s">
        <v>156</v>
      </c>
    </row>
    <row r="13" spans="2:37" s="14" customFormat="1" ht="10.5" hidden="1" customHeight="1" x14ac:dyDescent="0.2">
      <c r="B13" s="9"/>
      <c r="C13" s="9"/>
      <c r="D13" s="27" t="s">
        <v>89</v>
      </c>
      <c r="E13" s="178"/>
      <c r="F13" s="9"/>
      <c r="G13" s="9"/>
      <c r="H13" s="9"/>
      <c r="I13" s="9"/>
      <c r="J13" s="27" t="s">
        <v>152</v>
      </c>
      <c r="K13" s="9"/>
      <c r="L13" s="9"/>
      <c r="M13" s="9"/>
      <c r="N13" s="9"/>
      <c r="P13" s="28" t="s">
        <v>134</v>
      </c>
      <c r="Q13" s="18"/>
      <c r="R13" s="19"/>
      <c r="S13" s="18"/>
      <c r="T13" s="18"/>
      <c r="U13" s="29" t="s">
        <v>77</v>
      </c>
      <c r="V13" s="18"/>
      <c r="W13" s="18"/>
      <c r="AF13" s="30" t="s">
        <v>124</v>
      </c>
      <c r="AK13" s="31" t="s">
        <v>156</v>
      </c>
    </row>
    <row r="14" spans="2:37" s="14" customFormat="1" ht="10.5" hidden="1" customHeight="1" x14ac:dyDescent="0.2">
      <c r="B14" s="9"/>
      <c r="C14" s="9"/>
      <c r="D14" s="32" t="s">
        <v>91</v>
      </c>
      <c r="E14" s="179"/>
      <c r="F14" s="9"/>
      <c r="G14" s="9"/>
      <c r="H14" s="9"/>
      <c r="I14" s="9"/>
      <c r="J14" s="33" t="s">
        <v>73</v>
      </c>
      <c r="K14" s="9"/>
      <c r="L14" s="9"/>
      <c r="M14" s="9"/>
      <c r="N14" s="9"/>
      <c r="P14" s="34" t="s">
        <v>130</v>
      </c>
      <c r="Q14" s="18"/>
      <c r="R14" s="19"/>
      <c r="S14" s="18"/>
      <c r="T14" s="18"/>
      <c r="U14" s="35" t="s">
        <v>78</v>
      </c>
      <c r="V14" s="18"/>
      <c r="W14" s="18"/>
      <c r="AF14" s="35" t="s">
        <v>125</v>
      </c>
      <c r="AK14" s="36" t="s">
        <v>156</v>
      </c>
    </row>
    <row r="15" spans="2:37" s="14" customFormat="1" ht="10.5" hidden="1" customHeight="1" x14ac:dyDescent="0.2">
      <c r="B15" s="9"/>
      <c r="C15" s="9"/>
      <c r="D15" s="27" t="s">
        <v>82</v>
      </c>
      <c r="E15" s="178"/>
      <c r="F15" s="9"/>
      <c r="G15" s="9"/>
      <c r="H15" s="9"/>
      <c r="I15" s="9"/>
      <c r="J15" s="27" t="s">
        <v>116</v>
      </c>
      <c r="K15" s="9"/>
      <c r="L15" s="9"/>
      <c r="M15" s="9"/>
      <c r="N15" s="9"/>
      <c r="P15" s="28" t="s">
        <v>97</v>
      </c>
      <c r="Q15" s="18"/>
      <c r="R15" s="19"/>
      <c r="S15" s="18"/>
      <c r="T15" s="18"/>
      <c r="U15" s="29" t="s">
        <v>115</v>
      </c>
      <c r="V15" s="18"/>
      <c r="W15" s="18"/>
      <c r="AF15" s="30" t="s">
        <v>126</v>
      </c>
      <c r="AK15" s="31" t="s">
        <v>156</v>
      </c>
    </row>
    <row r="16" spans="2:37" s="14" customFormat="1" ht="10.5" hidden="1" customHeight="1" x14ac:dyDescent="0.2">
      <c r="B16" s="9"/>
      <c r="C16" s="9"/>
      <c r="D16" s="32" t="s">
        <v>84</v>
      </c>
      <c r="E16" s="179"/>
      <c r="F16" s="9"/>
      <c r="G16" s="9"/>
      <c r="H16" s="9"/>
      <c r="I16" s="9"/>
      <c r="J16" s="33" t="s">
        <v>131</v>
      </c>
      <c r="K16" s="9"/>
      <c r="L16" s="9"/>
      <c r="M16" s="9"/>
      <c r="N16" s="9"/>
      <c r="P16" s="34" t="s">
        <v>99</v>
      </c>
      <c r="Q16" s="18"/>
      <c r="R16" s="19"/>
      <c r="S16" s="18"/>
      <c r="T16" s="18"/>
      <c r="U16" s="35" t="s">
        <v>135</v>
      </c>
      <c r="V16" s="18"/>
      <c r="W16" s="18"/>
      <c r="AF16" s="35" t="s">
        <v>127</v>
      </c>
      <c r="AK16" s="36" t="s">
        <v>156</v>
      </c>
    </row>
    <row r="17" spans="2:37" s="14" customFormat="1" ht="10.5" hidden="1" customHeight="1" x14ac:dyDescent="0.2">
      <c r="B17" s="9"/>
      <c r="C17" s="9"/>
      <c r="D17" s="27" t="s">
        <v>88</v>
      </c>
      <c r="E17" s="178"/>
      <c r="F17" s="9"/>
      <c r="G17" s="9"/>
      <c r="H17" s="9"/>
      <c r="I17" s="9"/>
      <c r="J17" s="27" t="s">
        <v>132</v>
      </c>
      <c r="K17" s="9"/>
      <c r="L17" s="9"/>
      <c r="M17" s="9"/>
      <c r="N17" s="9"/>
      <c r="P17" s="28" t="s">
        <v>100</v>
      </c>
      <c r="Q17" s="18"/>
      <c r="R17" s="19"/>
      <c r="S17" s="18"/>
      <c r="T17" s="18"/>
      <c r="U17" s="29" t="s">
        <v>66</v>
      </c>
      <c r="V17" s="18"/>
      <c r="W17" s="18"/>
      <c r="AF17" s="30" t="s">
        <v>128</v>
      </c>
      <c r="AK17" s="31" t="s">
        <v>156</v>
      </c>
    </row>
    <row r="18" spans="2:37" s="14" customFormat="1" ht="10.5" hidden="1" customHeight="1" x14ac:dyDescent="0.2">
      <c r="B18" s="9"/>
      <c r="C18" s="9"/>
      <c r="D18" s="32" t="s">
        <v>92</v>
      </c>
      <c r="E18" s="179"/>
      <c r="F18" s="9"/>
      <c r="G18" s="9"/>
      <c r="H18" s="9"/>
      <c r="I18" s="9"/>
      <c r="J18" s="33" t="s">
        <v>138</v>
      </c>
      <c r="K18" s="9"/>
      <c r="L18" s="9"/>
      <c r="M18" s="9"/>
      <c r="N18" s="9"/>
      <c r="P18" s="34" t="s">
        <v>81</v>
      </c>
      <c r="Q18" s="18"/>
      <c r="R18" s="19"/>
      <c r="S18" s="18"/>
      <c r="T18" s="18"/>
      <c r="U18" s="35" t="s">
        <v>139</v>
      </c>
      <c r="V18" s="18"/>
      <c r="W18" s="18"/>
      <c r="AF18" s="35" t="s">
        <v>129</v>
      </c>
      <c r="AK18" s="36" t="s">
        <v>156</v>
      </c>
    </row>
    <row r="19" spans="2:37" s="14" customFormat="1" ht="10.5" hidden="1" customHeight="1" x14ac:dyDescent="0.2">
      <c r="B19" s="9"/>
      <c r="C19" s="9"/>
      <c r="D19" s="27" t="s">
        <v>83</v>
      </c>
      <c r="E19" s="178"/>
      <c r="F19" s="9"/>
      <c r="G19" s="9"/>
      <c r="H19" s="9"/>
      <c r="I19" s="9"/>
      <c r="J19" s="27" t="s">
        <v>140</v>
      </c>
      <c r="K19" s="9"/>
      <c r="L19" s="9"/>
      <c r="M19" s="9"/>
      <c r="N19" s="9"/>
      <c r="P19" s="28" t="s">
        <v>101</v>
      </c>
      <c r="Q19" s="18"/>
      <c r="R19" s="19"/>
      <c r="S19" s="18"/>
      <c r="T19" s="18"/>
      <c r="U19" s="29" t="s">
        <v>143</v>
      </c>
      <c r="V19" s="18"/>
      <c r="W19" s="18"/>
      <c r="AF19" s="30" t="s">
        <v>137</v>
      </c>
      <c r="AK19" s="31" t="s">
        <v>156</v>
      </c>
    </row>
    <row r="20" spans="2:37" s="14" customFormat="1" ht="10.5" hidden="1" customHeight="1" x14ac:dyDescent="0.2">
      <c r="B20" s="9"/>
      <c r="C20" s="9"/>
      <c r="D20" s="32" t="s">
        <v>90</v>
      </c>
      <c r="E20" s="179"/>
      <c r="F20" s="9"/>
      <c r="G20" s="9"/>
      <c r="H20" s="9"/>
      <c r="I20" s="9"/>
      <c r="J20" s="33" t="s">
        <v>141</v>
      </c>
      <c r="K20" s="9"/>
      <c r="L20" s="9"/>
      <c r="M20" s="9"/>
      <c r="N20" s="9"/>
      <c r="P20" s="34" t="s">
        <v>102</v>
      </c>
      <c r="Q20" s="18"/>
      <c r="R20" s="19"/>
      <c r="S20" s="18"/>
      <c r="T20" s="18"/>
      <c r="U20" s="35" t="s">
        <v>156</v>
      </c>
      <c r="V20" s="18"/>
      <c r="W20" s="18"/>
      <c r="AF20" s="35" t="s">
        <v>156</v>
      </c>
      <c r="AK20" s="36" t="s">
        <v>156</v>
      </c>
    </row>
    <row r="21" spans="2:37" s="14" customFormat="1" ht="10.5" hidden="1" customHeight="1" x14ac:dyDescent="0.2">
      <c r="B21" s="9"/>
      <c r="C21" s="9"/>
      <c r="D21" s="27" t="s">
        <v>93</v>
      </c>
      <c r="E21" s="178"/>
      <c r="F21" s="9"/>
      <c r="G21" s="9"/>
      <c r="H21" s="9"/>
      <c r="I21" s="9"/>
      <c r="J21" s="27" t="s">
        <v>144</v>
      </c>
      <c r="K21" s="9"/>
      <c r="L21" s="9"/>
      <c r="M21" s="9"/>
      <c r="N21" s="9"/>
      <c r="P21" s="28" t="s">
        <v>103</v>
      </c>
      <c r="Q21" s="18"/>
      <c r="R21" s="19"/>
      <c r="S21" s="18"/>
      <c r="T21" s="18"/>
      <c r="U21" s="29" t="s">
        <v>156</v>
      </c>
      <c r="V21" s="18"/>
      <c r="W21" s="18"/>
      <c r="AF21" s="30" t="s">
        <v>156</v>
      </c>
      <c r="AK21" s="31" t="s">
        <v>156</v>
      </c>
    </row>
    <row r="22" spans="2:37" s="14" customFormat="1" ht="10.5" hidden="1" customHeight="1" x14ac:dyDescent="0.2">
      <c r="B22" s="9"/>
      <c r="C22" s="9"/>
      <c r="D22" s="32" t="s">
        <v>94</v>
      </c>
      <c r="E22" s="179"/>
      <c r="F22" s="9"/>
      <c r="G22" s="9"/>
      <c r="H22" s="9"/>
      <c r="I22" s="9"/>
      <c r="J22" s="33" t="s">
        <v>145</v>
      </c>
      <c r="K22" s="9"/>
      <c r="L22" s="9"/>
      <c r="M22" s="9"/>
      <c r="N22" s="9"/>
      <c r="P22" s="34" t="s">
        <v>104</v>
      </c>
      <c r="Q22" s="18"/>
      <c r="R22" s="19"/>
      <c r="S22" s="18"/>
      <c r="T22" s="18"/>
      <c r="U22" s="35" t="s">
        <v>156</v>
      </c>
      <c r="V22" s="18"/>
      <c r="W22" s="18"/>
      <c r="AF22" s="35" t="s">
        <v>156</v>
      </c>
      <c r="AK22" s="36" t="s">
        <v>156</v>
      </c>
    </row>
    <row r="23" spans="2:37" s="14" customFormat="1" ht="10.5" hidden="1" customHeight="1" x14ac:dyDescent="0.2">
      <c r="B23" s="9"/>
      <c r="C23" s="9"/>
      <c r="D23" s="27" t="s">
        <v>156</v>
      </c>
      <c r="E23" s="178"/>
      <c r="F23" s="9"/>
      <c r="G23" s="9"/>
      <c r="H23" s="9"/>
      <c r="I23" s="9"/>
      <c r="J23" s="27" t="s">
        <v>147</v>
      </c>
      <c r="K23" s="9"/>
      <c r="L23" s="9"/>
      <c r="M23" s="9"/>
      <c r="N23" s="9"/>
      <c r="P23" s="28" t="s">
        <v>105</v>
      </c>
      <c r="Q23" s="18"/>
      <c r="R23" s="19"/>
      <c r="S23" s="18"/>
      <c r="T23" s="18"/>
      <c r="U23" s="29" t="s">
        <v>156</v>
      </c>
      <c r="V23" s="18"/>
      <c r="W23" s="18"/>
      <c r="AF23" s="30" t="s">
        <v>156</v>
      </c>
      <c r="AK23" s="31" t="s">
        <v>156</v>
      </c>
    </row>
    <row r="24" spans="2:37" s="14" customFormat="1" ht="10.5" hidden="1" customHeight="1" x14ac:dyDescent="0.2">
      <c r="B24" s="9"/>
      <c r="C24" s="9"/>
      <c r="D24" s="32" t="s">
        <v>156</v>
      </c>
      <c r="E24" s="179"/>
      <c r="F24" s="9"/>
      <c r="G24" s="9"/>
      <c r="H24" s="9"/>
      <c r="I24" s="9"/>
      <c r="J24" s="33" t="s">
        <v>155</v>
      </c>
      <c r="K24" s="9"/>
      <c r="L24" s="9"/>
      <c r="M24" s="9"/>
      <c r="N24" s="9"/>
      <c r="P24" s="34" t="s">
        <v>106</v>
      </c>
      <c r="Q24" s="18"/>
      <c r="R24" s="19"/>
      <c r="S24" s="18"/>
      <c r="T24" s="18"/>
      <c r="U24" s="35" t="s">
        <v>156</v>
      </c>
      <c r="V24" s="18"/>
      <c r="W24" s="18"/>
      <c r="AF24" s="35" t="s">
        <v>156</v>
      </c>
      <c r="AK24" s="36" t="s">
        <v>156</v>
      </c>
    </row>
    <row r="25" spans="2:37" s="14" customFormat="1" ht="10.5" hidden="1" customHeight="1" x14ac:dyDescent="0.2">
      <c r="B25" s="9"/>
      <c r="C25" s="9"/>
      <c r="D25" s="27" t="s">
        <v>156</v>
      </c>
      <c r="E25" s="178"/>
      <c r="F25" s="9"/>
      <c r="G25" s="9"/>
      <c r="H25" s="9"/>
      <c r="I25" s="9"/>
      <c r="J25" s="27" t="s">
        <v>96</v>
      </c>
      <c r="K25" s="9"/>
      <c r="L25" s="9"/>
      <c r="M25" s="9"/>
      <c r="N25" s="9"/>
      <c r="P25" s="28" t="s">
        <v>107</v>
      </c>
      <c r="Q25" s="18"/>
      <c r="R25" s="19"/>
      <c r="S25" s="18"/>
      <c r="T25" s="18"/>
      <c r="U25" s="29" t="s">
        <v>156</v>
      </c>
      <c r="V25" s="18"/>
      <c r="W25" s="18"/>
      <c r="AF25" s="30" t="s">
        <v>156</v>
      </c>
      <c r="AK25" s="31" t="s">
        <v>156</v>
      </c>
    </row>
    <row r="26" spans="2:37" s="14" customFormat="1" ht="10.5" hidden="1" customHeight="1" x14ac:dyDescent="0.2">
      <c r="B26" s="9"/>
      <c r="C26" s="9"/>
      <c r="D26" s="32" t="s">
        <v>156</v>
      </c>
      <c r="E26" s="179"/>
      <c r="F26" s="9"/>
      <c r="G26" s="9"/>
      <c r="H26" s="9"/>
      <c r="I26" s="9"/>
      <c r="J26" s="33" t="s">
        <v>146</v>
      </c>
      <c r="K26" s="9"/>
      <c r="L26" s="9"/>
      <c r="M26" s="9"/>
      <c r="N26" s="9"/>
      <c r="P26" s="34" t="s">
        <v>108</v>
      </c>
      <c r="Q26" s="18"/>
      <c r="R26" s="19"/>
      <c r="S26" s="18"/>
      <c r="T26" s="18"/>
      <c r="U26" s="35" t="s">
        <v>156</v>
      </c>
      <c r="V26" s="18"/>
      <c r="W26" s="18"/>
      <c r="AF26" s="35" t="s">
        <v>156</v>
      </c>
      <c r="AK26" s="36" t="s">
        <v>156</v>
      </c>
    </row>
    <row r="27" spans="2:37" s="14" customFormat="1" ht="10.5" hidden="1" customHeight="1" x14ac:dyDescent="0.2">
      <c r="B27" s="9"/>
      <c r="C27" s="9"/>
      <c r="D27" s="27" t="s">
        <v>156</v>
      </c>
      <c r="E27" s="178"/>
      <c r="F27" s="9"/>
      <c r="G27" s="9"/>
      <c r="H27" s="9"/>
      <c r="I27" s="9"/>
      <c r="J27" s="27" t="s">
        <v>153</v>
      </c>
      <c r="K27" s="9"/>
      <c r="L27" s="9"/>
      <c r="M27" s="9"/>
      <c r="N27" s="9"/>
      <c r="P27" s="28" t="s">
        <v>109</v>
      </c>
      <c r="Q27" s="18"/>
      <c r="R27" s="19"/>
      <c r="S27" s="18"/>
      <c r="T27" s="18"/>
      <c r="U27" s="29" t="s">
        <v>156</v>
      </c>
      <c r="V27" s="18"/>
      <c r="W27" s="18"/>
      <c r="AF27" s="30" t="s">
        <v>156</v>
      </c>
      <c r="AK27" s="31" t="s">
        <v>156</v>
      </c>
    </row>
    <row r="28" spans="2:37" s="14" customFormat="1" ht="10.5" hidden="1" customHeight="1" x14ac:dyDescent="0.2">
      <c r="B28" s="9"/>
      <c r="C28" s="9"/>
      <c r="D28" s="32" t="s">
        <v>156</v>
      </c>
      <c r="E28" s="179"/>
      <c r="F28" s="9"/>
      <c r="G28" s="9"/>
      <c r="H28" s="9"/>
      <c r="I28" s="9"/>
      <c r="J28" s="33" t="s">
        <v>154</v>
      </c>
      <c r="K28" s="9"/>
      <c r="L28" s="9"/>
      <c r="M28" s="9"/>
      <c r="N28" s="9"/>
      <c r="P28" s="34" t="s">
        <v>110</v>
      </c>
      <c r="Q28" s="18"/>
      <c r="R28" s="19"/>
      <c r="S28" s="18"/>
      <c r="T28" s="18"/>
      <c r="U28" s="35" t="s">
        <v>156</v>
      </c>
      <c r="V28" s="18"/>
      <c r="W28" s="18"/>
      <c r="AF28" s="35" t="s">
        <v>156</v>
      </c>
      <c r="AK28" s="36" t="s">
        <v>156</v>
      </c>
    </row>
    <row r="29" spans="2:37" s="14" customFormat="1" ht="10.5" hidden="1" customHeight="1" x14ac:dyDescent="0.2">
      <c r="B29" s="9"/>
      <c r="C29" s="9"/>
      <c r="D29" s="27" t="s">
        <v>156</v>
      </c>
      <c r="E29" s="178"/>
      <c r="F29" s="9"/>
      <c r="G29" s="9"/>
      <c r="H29" s="9"/>
      <c r="I29" s="9"/>
      <c r="J29" s="27" t="s">
        <v>156</v>
      </c>
      <c r="K29" s="9"/>
      <c r="L29" s="9"/>
      <c r="M29" s="9"/>
      <c r="N29" s="9"/>
      <c r="P29" s="28" t="s">
        <v>112</v>
      </c>
      <c r="Q29" s="18"/>
      <c r="R29" s="19"/>
      <c r="S29" s="18"/>
      <c r="T29" s="18"/>
      <c r="U29" s="29" t="s">
        <v>156</v>
      </c>
      <c r="V29" s="18"/>
      <c r="W29" s="18"/>
      <c r="AF29" s="30" t="s">
        <v>156</v>
      </c>
      <c r="AK29" s="31" t="s">
        <v>156</v>
      </c>
    </row>
    <row r="30" spans="2:37" s="14" customFormat="1" ht="10.5" hidden="1" customHeight="1" x14ac:dyDescent="0.2">
      <c r="B30" s="9"/>
      <c r="C30" s="9"/>
      <c r="D30" s="32" t="s">
        <v>156</v>
      </c>
      <c r="E30" s="179"/>
      <c r="F30" s="9"/>
      <c r="G30" s="9"/>
      <c r="H30" s="9"/>
      <c r="I30" s="9"/>
      <c r="J30" s="33" t="s">
        <v>156</v>
      </c>
      <c r="K30" s="9"/>
      <c r="L30" s="9"/>
      <c r="M30" s="9"/>
      <c r="N30" s="9"/>
      <c r="P30" s="34" t="s">
        <v>113</v>
      </c>
      <c r="Q30" s="18"/>
      <c r="R30" s="19"/>
      <c r="S30" s="18"/>
      <c r="T30" s="18"/>
      <c r="U30" s="35" t="s">
        <v>156</v>
      </c>
      <c r="V30" s="18"/>
      <c r="W30" s="18"/>
      <c r="AF30" s="35" t="s">
        <v>156</v>
      </c>
      <c r="AK30" s="36" t="s">
        <v>156</v>
      </c>
    </row>
    <row r="31" spans="2:37" s="14" customFormat="1" ht="10.5" hidden="1" customHeight="1" x14ac:dyDescent="0.2">
      <c r="B31" s="9"/>
      <c r="C31" s="9"/>
      <c r="D31" s="27" t="s">
        <v>156</v>
      </c>
      <c r="E31" s="178"/>
      <c r="F31" s="9"/>
      <c r="G31" s="9"/>
      <c r="H31" s="9"/>
      <c r="I31" s="9"/>
      <c r="J31" s="27" t="s">
        <v>156</v>
      </c>
      <c r="K31" s="9"/>
      <c r="L31" s="9"/>
      <c r="M31" s="9"/>
      <c r="N31" s="9"/>
      <c r="P31" s="28" t="s">
        <v>114</v>
      </c>
      <c r="Q31" s="18"/>
      <c r="R31" s="19"/>
      <c r="S31" s="18"/>
      <c r="T31" s="18"/>
      <c r="U31" s="29" t="s">
        <v>156</v>
      </c>
      <c r="V31" s="18"/>
      <c r="W31" s="18"/>
      <c r="AF31" s="30" t="s">
        <v>156</v>
      </c>
      <c r="AK31" s="31" t="s">
        <v>156</v>
      </c>
    </row>
    <row r="32" spans="2:37" s="14" customFormat="1" ht="10.5" hidden="1" customHeight="1" x14ac:dyDescent="0.2">
      <c r="B32" s="9"/>
      <c r="C32" s="9"/>
      <c r="D32" s="32" t="s">
        <v>156</v>
      </c>
      <c r="E32" s="179"/>
      <c r="F32" s="9"/>
      <c r="G32" s="9"/>
      <c r="H32" s="9"/>
      <c r="I32" s="9"/>
      <c r="J32" s="33" t="s">
        <v>156</v>
      </c>
      <c r="K32" s="9"/>
      <c r="L32" s="9"/>
      <c r="M32" s="9"/>
      <c r="N32" s="9"/>
      <c r="P32" s="34" t="s">
        <v>136</v>
      </c>
      <c r="Q32" s="18"/>
      <c r="R32" s="19"/>
      <c r="S32" s="18"/>
      <c r="T32" s="18"/>
      <c r="U32" s="35" t="s">
        <v>156</v>
      </c>
      <c r="V32" s="18"/>
      <c r="W32" s="18"/>
      <c r="AF32" s="35" t="s">
        <v>156</v>
      </c>
      <c r="AK32" s="36" t="s">
        <v>156</v>
      </c>
    </row>
    <row r="33" spans="2:37" s="14" customFormat="1" ht="10.5" hidden="1" customHeight="1" x14ac:dyDescent="0.2">
      <c r="B33" s="9"/>
      <c r="C33" s="9"/>
      <c r="D33" s="27" t="s">
        <v>156</v>
      </c>
      <c r="E33" s="178"/>
      <c r="F33" s="9"/>
      <c r="G33" s="9"/>
      <c r="H33" s="9"/>
      <c r="I33" s="9"/>
      <c r="J33" s="27" t="s">
        <v>156</v>
      </c>
      <c r="K33" s="9"/>
      <c r="L33" s="9"/>
      <c r="M33" s="9"/>
      <c r="N33" s="9"/>
      <c r="P33" s="28" t="s">
        <v>156</v>
      </c>
      <c r="Q33" s="18"/>
      <c r="R33" s="19"/>
      <c r="S33" s="18"/>
      <c r="T33" s="18"/>
      <c r="U33" s="29" t="s">
        <v>156</v>
      </c>
      <c r="V33" s="18"/>
      <c r="W33" s="18"/>
      <c r="AF33" s="30" t="s">
        <v>156</v>
      </c>
      <c r="AK33" s="31" t="s">
        <v>156</v>
      </c>
    </row>
    <row r="34" spans="2:37" s="14" customFormat="1" ht="10.5" hidden="1" customHeight="1" x14ac:dyDescent="0.2">
      <c r="B34" s="9"/>
      <c r="C34" s="9"/>
      <c r="D34" s="32" t="s">
        <v>156</v>
      </c>
      <c r="E34" s="179"/>
      <c r="F34" s="9"/>
      <c r="G34" s="9"/>
      <c r="H34" s="9"/>
      <c r="I34" s="9"/>
      <c r="J34" s="33" t="s">
        <v>156</v>
      </c>
      <c r="K34" s="9"/>
      <c r="L34" s="9"/>
      <c r="M34" s="9"/>
      <c r="N34" s="9"/>
      <c r="P34" s="34" t="s">
        <v>156</v>
      </c>
      <c r="Q34" s="18"/>
      <c r="R34" s="19"/>
      <c r="S34" s="18"/>
      <c r="T34" s="18"/>
      <c r="U34" s="35" t="s">
        <v>156</v>
      </c>
      <c r="V34" s="18"/>
      <c r="W34" s="18"/>
      <c r="AF34" s="35" t="s">
        <v>156</v>
      </c>
      <c r="AK34" s="36" t="s">
        <v>156</v>
      </c>
    </row>
    <row r="35" spans="2:37" s="14" customFormat="1" ht="10.5" hidden="1" customHeight="1" x14ac:dyDescent="0.2">
      <c r="B35" s="9"/>
      <c r="C35" s="9"/>
      <c r="D35" s="27" t="s">
        <v>156</v>
      </c>
      <c r="E35" s="178"/>
      <c r="F35" s="9"/>
      <c r="G35" s="9"/>
      <c r="H35" s="9"/>
      <c r="I35" s="9"/>
      <c r="J35" s="27" t="s">
        <v>156</v>
      </c>
      <c r="K35" s="9"/>
      <c r="L35" s="9"/>
      <c r="M35" s="9"/>
      <c r="N35" s="9"/>
      <c r="P35" s="28" t="s">
        <v>156</v>
      </c>
      <c r="Q35" s="18"/>
      <c r="R35" s="19"/>
      <c r="S35" s="18"/>
      <c r="T35" s="18"/>
      <c r="U35" s="29" t="s">
        <v>156</v>
      </c>
      <c r="V35" s="18"/>
      <c r="W35" s="18"/>
      <c r="AF35" s="30" t="s">
        <v>156</v>
      </c>
      <c r="AK35" s="31" t="s">
        <v>156</v>
      </c>
    </row>
    <row r="36" spans="2:37" s="14" customFormat="1" ht="10.5" hidden="1" customHeight="1" x14ac:dyDescent="0.2">
      <c r="B36" s="9"/>
      <c r="C36" s="9"/>
      <c r="D36" s="32" t="s">
        <v>156</v>
      </c>
      <c r="E36" s="179"/>
      <c r="F36" s="9"/>
      <c r="G36" s="9"/>
      <c r="H36" s="9"/>
      <c r="I36" s="9"/>
      <c r="J36" s="33" t="s">
        <v>156</v>
      </c>
      <c r="K36" s="9"/>
      <c r="L36" s="9"/>
      <c r="M36" s="9"/>
      <c r="N36" s="9"/>
      <c r="P36" s="34" t="s">
        <v>156</v>
      </c>
      <c r="Q36" s="18"/>
      <c r="R36" s="19"/>
      <c r="S36" s="18"/>
      <c r="T36" s="18"/>
      <c r="U36" s="35" t="s">
        <v>156</v>
      </c>
      <c r="V36" s="18"/>
      <c r="W36" s="18"/>
      <c r="AF36" s="35" t="s">
        <v>156</v>
      </c>
      <c r="AK36" s="36" t="s">
        <v>156</v>
      </c>
    </row>
    <row r="37" spans="2:37" s="14" customFormat="1" ht="10.5" hidden="1" customHeight="1" x14ac:dyDescent="0.2">
      <c r="B37" s="9"/>
      <c r="C37" s="9"/>
      <c r="D37" s="27" t="s">
        <v>156</v>
      </c>
      <c r="E37" s="178"/>
      <c r="F37" s="9"/>
      <c r="G37" s="9"/>
      <c r="H37" s="9"/>
      <c r="I37" s="9"/>
      <c r="J37" s="27" t="s">
        <v>156</v>
      </c>
      <c r="K37" s="9"/>
      <c r="L37" s="9"/>
      <c r="M37" s="9"/>
      <c r="N37" s="9"/>
      <c r="P37" s="28" t="s">
        <v>156</v>
      </c>
      <c r="Q37" s="18"/>
      <c r="R37" s="19"/>
      <c r="S37" s="18"/>
      <c r="T37" s="18"/>
      <c r="U37" s="29" t="s">
        <v>156</v>
      </c>
      <c r="V37" s="18"/>
      <c r="W37" s="18"/>
      <c r="AF37" s="30" t="s">
        <v>156</v>
      </c>
      <c r="AK37" s="31" t="s">
        <v>156</v>
      </c>
    </row>
    <row r="38" spans="2:37" s="14" customFormat="1" ht="10.5" hidden="1" customHeight="1" x14ac:dyDescent="0.2">
      <c r="B38" s="9"/>
      <c r="C38" s="9"/>
      <c r="D38" s="32" t="s">
        <v>156</v>
      </c>
      <c r="E38" s="179"/>
      <c r="F38" s="9"/>
      <c r="G38" s="9"/>
      <c r="H38" s="9"/>
      <c r="I38" s="9"/>
      <c r="J38" s="33" t="s">
        <v>156</v>
      </c>
      <c r="K38" s="9"/>
      <c r="L38" s="9"/>
      <c r="M38" s="9"/>
      <c r="N38" s="9"/>
      <c r="P38" s="34" t="s">
        <v>156</v>
      </c>
      <c r="Q38" s="18"/>
      <c r="R38" s="19"/>
      <c r="S38" s="18"/>
      <c r="T38" s="18"/>
      <c r="U38" s="35" t="s">
        <v>156</v>
      </c>
      <c r="V38" s="18"/>
      <c r="W38" s="18"/>
      <c r="AF38" s="35" t="s">
        <v>156</v>
      </c>
      <c r="AK38" s="36" t="s">
        <v>156</v>
      </c>
    </row>
    <row r="39" spans="2:37" s="14" customFormat="1" ht="10.5" hidden="1" customHeight="1" x14ac:dyDescent="0.2">
      <c r="B39" s="9"/>
      <c r="C39" s="9"/>
      <c r="D39" s="27" t="s">
        <v>156</v>
      </c>
      <c r="E39" s="178"/>
      <c r="F39" s="9"/>
      <c r="G39" s="9"/>
      <c r="H39" s="9"/>
      <c r="I39" s="9"/>
      <c r="J39" s="27" t="s">
        <v>156</v>
      </c>
      <c r="K39" s="9"/>
      <c r="L39" s="9"/>
      <c r="M39" s="9"/>
      <c r="N39" s="9"/>
      <c r="P39" s="28" t="s">
        <v>156</v>
      </c>
      <c r="Q39" s="18"/>
      <c r="R39" s="19"/>
      <c r="S39" s="18"/>
      <c r="T39" s="18"/>
      <c r="U39" s="29" t="s">
        <v>156</v>
      </c>
      <c r="V39" s="18"/>
      <c r="W39" s="18"/>
      <c r="AF39" s="30" t="s">
        <v>156</v>
      </c>
      <c r="AK39" s="31" t="s">
        <v>156</v>
      </c>
    </row>
    <row r="40" spans="2:37" s="14" customFormat="1" ht="10.5" hidden="1" customHeight="1" x14ac:dyDescent="0.2">
      <c r="B40" s="9"/>
      <c r="C40" s="9"/>
      <c r="D40" s="32" t="s">
        <v>156</v>
      </c>
      <c r="E40" s="179"/>
      <c r="F40" s="9"/>
      <c r="G40" s="9"/>
      <c r="H40" s="9"/>
      <c r="I40" s="9"/>
      <c r="J40" s="33" t="s">
        <v>156</v>
      </c>
      <c r="K40" s="9"/>
      <c r="L40" s="9"/>
      <c r="M40" s="9"/>
      <c r="N40" s="9"/>
      <c r="P40" s="34" t="s">
        <v>156</v>
      </c>
      <c r="Q40" s="18"/>
      <c r="R40" s="19"/>
      <c r="S40" s="18"/>
      <c r="T40" s="18"/>
      <c r="U40" s="35" t="s">
        <v>156</v>
      </c>
      <c r="V40" s="18"/>
      <c r="W40" s="18"/>
      <c r="AF40" s="35" t="s">
        <v>156</v>
      </c>
      <c r="AK40" s="36" t="s">
        <v>156</v>
      </c>
    </row>
    <row r="41" spans="2:37" s="14" customFormat="1" ht="10.5" hidden="1" customHeight="1" x14ac:dyDescent="0.2">
      <c r="B41" s="9"/>
      <c r="C41" s="9"/>
      <c r="D41" s="27" t="s">
        <v>156</v>
      </c>
      <c r="E41" s="178"/>
      <c r="F41" s="9"/>
      <c r="G41" s="9"/>
      <c r="H41" s="9"/>
      <c r="I41" s="9"/>
      <c r="J41" s="27" t="s">
        <v>156</v>
      </c>
      <c r="K41" s="9"/>
      <c r="L41" s="9"/>
      <c r="M41" s="9"/>
      <c r="N41" s="9"/>
      <c r="P41" s="28" t="s">
        <v>156</v>
      </c>
      <c r="Q41" s="18"/>
      <c r="R41" s="19"/>
      <c r="S41" s="18"/>
      <c r="T41" s="18"/>
      <c r="U41" s="29" t="s">
        <v>156</v>
      </c>
      <c r="V41" s="18"/>
      <c r="W41" s="18"/>
      <c r="AF41" s="30" t="s">
        <v>156</v>
      </c>
      <c r="AK41" s="31" t="s">
        <v>156</v>
      </c>
    </row>
    <row r="42" spans="2:37" s="14" customFormat="1" ht="10.5" hidden="1" customHeight="1" x14ac:dyDescent="0.2">
      <c r="B42" s="9"/>
      <c r="C42" s="9"/>
      <c r="D42" s="32" t="s">
        <v>156</v>
      </c>
      <c r="E42" s="179"/>
      <c r="F42" s="9"/>
      <c r="G42" s="9"/>
      <c r="H42" s="9"/>
      <c r="I42" s="9"/>
      <c r="J42" s="33" t="s">
        <v>156</v>
      </c>
      <c r="K42" s="9"/>
      <c r="L42" s="9"/>
      <c r="M42" s="9"/>
      <c r="N42" s="9"/>
      <c r="P42" s="34" t="s">
        <v>156</v>
      </c>
      <c r="Q42" s="18"/>
      <c r="R42" s="19"/>
      <c r="S42" s="18"/>
      <c r="T42" s="18"/>
      <c r="U42" s="35" t="s">
        <v>156</v>
      </c>
      <c r="V42" s="18"/>
      <c r="W42" s="18"/>
      <c r="AF42" s="35" t="s">
        <v>156</v>
      </c>
      <c r="AK42" s="36" t="s">
        <v>156</v>
      </c>
    </row>
    <row r="43" spans="2:37" s="14" customFormat="1" ht="10.5" hidden="1" customHeight="1" x14ac:dyDescent="0.2">
      <c r="B43" s="9"/>
      <c r="C43" s="9"/>
      <c r="D43" s="27" t="s">
        <v>156</v>
      </c>
      <c r="E43" s="178"/>
      <c r="F43" s="9"/>
      <c r="G43" s="9"/>
      <c r="H43" s="9"/>
      <c r="I43" s="9"/>
      <c r="J43" s="27" t="s">
        <v>156</v>
      </c>
      <c r="K43" s="9"/>
      <c r="L43" s="9"/>
      <c r="M43" s="9"/>
      <c r="N43" s="9"/>
      <c r="P43" s="28" t="s">
        <v>156</v>
      </c>
      <c r="Q43" s="18"/>
      <c r="R43" s="19"/>
      <c r="S43" s="18"/>
      <c r="T43" s="18"/>
      <c r="U43" s="29" t="s">
        <v>156</v>
      </c>
      <c r="V43" s="18"/>
      <c r="W43" s="18"/>
      <c r="AF43" s="30" t="s">
        <v>156</v>
      </c>
      <c r="AK43" s="31" t="s">
        <v>156</v>
      </c>
    </row>
    <row r="44" spans="2:37" s="14" customFormat="1" ht="10.5" hidden="1" customHeight="1" x14ac:dyDescent="0.2">
      <c r="B44" s="9"/>
      <c r="C44" s="9"/>
      <c r="D44" s="32" t="s">
        <v>156</v>
      </c>
      <c r="E44" s="179"/>
      <c r="F44" s="9"/>
      <c r="G44" s="9"/>
      <c r="H44" s="9"/>
      <c r="I44" s="9"/>
      <c r="J44" s="33" t="s">
        <v>156</v>
      </c>
      <c r="K44" s="9"/>
      <c r="L44" s="9"/>
      <c r="M44" s="9"/>
      <c r="N44" s="9"/>
      <c r="P44" s="34" t="s">
        <v>156</v>
      </c>
      <c r="Q44" s="18"/>
      <c r="R44" s="19"/>
      <c r="S44" s="18"/>
      <c r="T44" s="18"/>
      <c r="U44" s="35" t="s">
        <v>156</v>
      </c>
      <c r="V44" s="18"/>
      <c r="W44" s="18"/>
      <c r="AF44" s="35" t="s">
        <v>156</v>
      </c>
      <c r="AK44" s="36" t="s">
        <v>156</v>
      </c>
    </row>
    <row r="45" spans="2:37" s="14" customFormat="1" ht="10.5" hidden="1" customHeight="1" x14ac:dyDescent="0.2">
      <c r="B45" s="9"/>
      <c r="C45" s="9"/>
      <c r="D45" s="27" t="s">
        <v>156</v>
      </c>
      <c r="E45" s="178"/>
      <c r="F45" s="9"/>
      <c r="G45" s="9"/>
      <c r="H45" s="9"/>
      <c r="I45" s="9"/>
      <c r="J45" s="27" t="s">
        <v>156</v>
      </c>
      <c r="K45" s="9"/>
      <c r="L45" s="9"/>
      <c r="M45" s="9"/>
      <c r="N45" s="9"/>
      <c r="P45" s="28" t="s">
        <v>156</v>
      </c>
      <c r="Q45" s="18"/>
      <c r="R45" s="19"/>
      <c r="S45" s="18"/>
      <c r="T45" s="18"/>
      <c r="U45" s="29" t="s">
        <v>156</v>
      </c>
      <c r="V45" s="18"/>
      <c r="W45" s="18"/>
      <c r="AF45" s="30" t="s">
        <v>156</v>
      </c>
      <c r="AK45" s="31" t="s">
        <v>156</v>
      </c>
    </row>
    <row r="46" spans="2:37" s="14" customFormat="1" ht="10.5" hidden="1" customHeight="1" x14ac:dyDescent="0.2">
      <c r="B46" s="9"/>
      <c r="C46" s="9"/>
      <c r="D46" s="32" t="s">
        <v>156</v>
      </c>
      <c r="E46" s="179"/>
      <c r="F46" s="9"/>
      <c r="G46" s="9"/>
      <c r="H46" s="9"/>
      <c r="I46" s="9"/>
      <c r="J46" s="33" t="s">
        <v>156</v>
      </c>
      <c r="K46" s="9"/>
      <c r="L46" s="9"/>
      <c r="M46" s="9"/>
      <c r="N46" s="9"/>
      <c r="P46" s="34" t="s">
        <v>156</v>
      </c>
      <c r="Q46" s="18"/>
      <c r="R46" s="19"/>
      <c r="S46" s="18"/>
      <c r="T46" s="18"/>
      <c r="U46" s="35" t="s">
        <v>156</v>
      </c>
      <c r="V46" s="18"/>
      <c r="W46" s="18"/>
      <c r="AF46" s="35" t="s">
        <v>156</v>
      </c>
      <c r="AK46" s="36" t="s">
        <v>156</v>
      </c>
    </row>
    <row r="47" spans="2:37" s="14" customFormat="1" ht="10.5" hidden="1" customHeight="1" x14ac:dyDescent="0.2">
      <c r="B47" s="9"/>
      <c r="C47" s="9"/>
      <c r="D47" s="27" t="s">
        <v>156</v>
      </c>
      <c r="E47" s="178"/>
      <c r="F47" s="9"/>
      <c r="G47" s="9"/>
      <c r="H47" s="9"/>
      <c r="I47" s="9"/>
      <c r="J47" s="27" t="s">
        <v>156</v>
      </c>
      <c r="K47" s="9"/>
      <c r="L47" s="9"/>
      <c r="M47" s="9"/>
      <c r="N47" s="9"/>
      <c r="P47" s="28" t="s">
        <v>156</v>
      </c>
      <c r="Q47" s="18"/>
      <c r="R47" s="19"/>
      <c r="S47" s="18"/>
      <c r="T47" s="18"/>
      <c r="U47" s="29" t="s">
        <v>156</v>
      </c>
      <c r="V47" s="18"/>
      <c r="W47" s="18"/>
      <c r="AF47" s="30" t="s">
        <v>156</v>
      </c>
      <c r="AK47" s="31" t="s">
        <v>156</v>
      </c>
    </row>
    <row r="48" spans="2:37" s="14" customFormat="1" ht="10.5" hidden="1" customHeight="1" x14ac:dyDescent="0.2">
      <c r="B48" s="9"/>
      <c r="C48" s="9"/>
      <c r="D48" s="32" t="s">
        <v>156</v>
      </c>
      <c r="E48" s="179"/>
      <c r="F48" s="9"/>
      <c r="G48" s="9"/>
      <c r="H48" s="9"/>
      <c r="I48" s="9"/>
      <c r="J48" s="33" t="s">
        <v>156</v>
      </c>
      <c r="K48" s="9"/>
      <c r="L48" s="9"/>
      <c r="M48" s="9"/>
      <c r="N48" s="9"/>
      <c r="P48" s="34" t="s">
        <v>156</v>
      </c>
      <c r="Q48" s="18"/>
      <c r="R48" s="19"/>
      <c r="S48" s="18"/>
      <c r="T48" s="18"/>
      <c r="U48" s="35" t="s">
        <v>156</v>
      </c>
      <c r="V48" s="18"/>
      <c r="W48" s="18"/>
      <c r="AF48" s="35" t="s">
        <v>156</v>
      </c>
      <c r="AK48" s="36" t="s">
        <v>156</v>
      </c>
    </row>
    <row r="49" spans="2:37" s="14" customFormat="1" ht="10.5" hidden="1" customHeight="1" x14ac:dyDescent="0.2">
      <c r="B49" s="9"/>
      <c r="C49" s="9"/>
      <c r="D49" s="27" t="s">
        <v>156</v>
      </c>
      <c r="E49" s="178"/>
      <c r="F49" s="9"/>
      <c r="G49" s="9"/>
      <c r="H49" s="9"/>
      <c r="I49" s="9"/>
      <c r="J49" s="27" t="s">
        <v>156</v>
      </c>
      <c r="K49" s="9"/>
      <c r="L49" s="9"/>
      <c r="M49" s="9"/>
      <c r="N49" s="9"/>
      <c r="P49" s="28" t="s">
        <v>156</v>
      </c>
      <c r="Q49" s="18"/>
      <c r="R49" s="19"/>
      <c r="S49" s="18"/>
      <c r="T49" s="18"/>
      <c r="U49" s="29" t="s">
        <v>156</v>
      </c>
      <c r="V49" s="18"/>
      <c r="W49" s="18"/>
      <c r="AF49" s="30" t="s">
        <v>156</v>
      </c>
      <c r="AK49" s="31" t="s">
        <v>156</v>
      </c>
    </row>
    <row r="50" spans="2:37" s="14" customFormat="1" ht="10.5" hidden="1" customHeight="1" x14ac:dyDescent="0.2">
      <c r="B50" s="9"/>
      <c r="C50" s="9"/>
      <c r="D50" s="32" t="s">
        <v>156</v>
      </c>
      <c r="E50" s="179"/>
      <c r="F50" s="9"/>
      <c r="G50" s="9"/>
      <c r="H50" s="9"/>
      <c r="I50" s="9"/>
      <c r="J50" s="33" t="s">
        <v>156</v>
      </c>
      <c r="K50" s="9"/>
      <c r="L50" s="9"/>
      <c r="M50" s="9"/>
      <c r="N50" s="9"/>
      <c r="P50" s="34" t="s">
        <v>156</v>
      </c>
      <c r="Q50" s="18"/>
      <c r="R50" s="19"/>
      <c r="S50" s="18"/>
      <c r="T50" s="18"/>
      <c r="U50" s="35" t="s">
        <v>156</v>
      </c>
      <c r="V50" s="18"/>
      <c r="W50" s="18"/>
      <c r="AF50" s="35" t="s">
        <v>156</v>
      </c>
      <c r="AK50" s="36" t="s">
        <v>156</v>
      </c>
    </row>
    <row r="51" spans="2:37" s="14" customFormat="1" ht="10.5" hidden="1" customHeight="1" x14ac:dyDescent="0.2">
      <c r="B51" s="9"/>
      <c r="C51" s="9"/>
      <c r="D51" s="27" t="s">
        <v>156</v>
      </c>
      <c r="E51" s="178"/>
      <c r="F51" s="9"/>
      <c r="G51" s="9"/>
      <c r="H51" s="9"/>
      <c r="I51" s="9"/>
      <c r="J51" s="27" t="s">
        <v>156</v>
      </c>
      <c r="K51" s="9"/>
      <c r="L51" s="9"/>
      <c r="M51" s="9"/>
      <c r="N51" s="9"/>
      <c r="P51" s="28" t="s">
        <v>156</v>
      </c>
      <c r="Q51" s="18"/>
      <c r="R51" s="19"/>
      <c r="S51" s="18"/>
      <c r="T51" s="18"/>
      <c r="U51" s="29" t="s">
        <v>156</v>
      </c>
      <c r="V51" s="18"/>
      <c r="W51" s="18"/>
      <c r="AF51" s="30" t="s">
        <v>156</v>
      </c>
      <c r="AK51" s="31" t="s">
        <v>156</v>
      </c>
    </row>
    <row r="52" spans="2:37" s="14" customFormat="1" ht="10.5" hidden="1" customHeight="1" x14ac:dyDescent="0.2">
      <c r="B52" s="9"/>
      <c r="C52" s="9"/>
      <c r="D52" s="32" t="s">
        <v>156</v>
      </c>
      <c r="E52" s="179"/>
      <c r="F52" s="9"/>
      <c r="G52" s="9"/>
      <c r="H52" s="9"/>
      <c r="I52" s="9"/>
      <c r="J52" s="33" t="s">
        <v>156</v>
      </c>
      <c r="K52" s="9"/>
      <c r="L52" s="9"/>
      <c r="M52" s="9"/>
      <c r="N52" s="9"/>
      <c r="P52" s="34" t="s">
        <v>156</v>
      </c>
      <c r="Q52" s="18"/>
      <c r="R52" s="19"/>
      <c r="S52" s="18"/>
      <c r="T52" s="18"/>
      <c r="U52" s="35" t="s">
        <v>156</v>
      </c>
      <c r="V52" s="18"/>
      <c r="W52" s="18"/>
      <c r="AF52" s="35" t="s">
        <v>156</v>
      </c>
      <c r="AK52" s="36" t="s">
        <v>156</v>
      </c>
    </row>
    <row r="53" spans="2:37" s="14" customFormat="1" ht="10.5" hidden="1" customHeight="1" x14ac:dyDescent="0.2">
      <c r="B53" s="9"/>
      <c r="C53" s="9"/>
      <c r="D53" s="27" t="s">
        <v>156</v>
      </c>
      <c r="E53" s="178"/>
      <c r="F53" s="9"/>
      <c r="G53" s="9"/>
      <c r="H53" s="9"/>
      <c r="I53" s="9"/>
      <c r="J53" s="27" t="s">
        <v>156</v>
      </c>
      <c r="K53" s="9"/>
      <c r="L53" s="9"/>
      <c r="M53" s="9"/>
      <c r="N53" s="9"/>
      <c r="P53" s="28" t="s">
        <v>156</v>
      </c>
      <c r="Q53" s="18"/>
      <c r="R53" s="19"/>
      <c r="S53" s="18"/>
      <c r="T53" s="18"/>
      <c r="U53" s="29" t="s">
        <v>156</v>
      </c>
      <c r="V53" s="18"/>
      <c r="W53" s="18"/>
      <c r="AF53" s="30" t="s">
        <v>156</v>
      </c>
      <c r="AK53" s="31" t="s">
        <v>156</v>
      </c>
    </row>
    <row r="54" spans="2:37" s="14" customFormat="1" ht="10.5" hidden="1" customHeight="1" x14ac:dyDescent="0.2">
      <c r="B54" s="9"/>
      <c r="C54" s="9"/>
      <c r="D54" s="32" t="s">
        <v>156</v>
      </c>
      <c r="E54" s="179"/>
      <c r="F54" s="9"/>
      <c r="G54" s="9"/>
      <c r="H54" s="9"/>
      <c r="I54" s="9"/>
      <c r="J54" s="33" t="s">
        <v>156</v>
      </c>
      <c r="K54" s="9"/>
      <c r="L54" s="9"/>
      <c r="M54" s="9"/>
      <c r="N54" s="9"/>
      <c r="P54" s="34" t="s">
        <v>156</v>
      </c>
      <c r="Q54" s="18"/>
      <c r="R54" s="19"/>
      <c r="S54" s="18"/>
      <c r="T54" s="18"/>
      <c r="U54" s="35" t="s">
        <v>156</v>
      </c>
      <c r="V54" s="18"/>
      <c r="W54" s="18"/>
      <c r="AF54" s="35" t="s">
        <v>156</v>
      </c>
      <c r="AK54" s="36" t="s">
        <v>156</v>
      </c>
    </row>
    <row r="55" spans="2:37" s="14" customFormat="1" ht="10.5" hidden="1" customHeight="1" x14ac:dyDescent="0.2">
      <c r="B55" s="9"/>
      <c r="C55" s="9"/>
      <c r="D55" s="27" t="s">
        <v>156</v>
      </c>
      <c r="E55" s="178"/>
      <c r="F55" s="9"/>
      <c r="G55" s="9"/>
      <c r="H55" s="9"/>
      <c r="I55" s="9"/>
      <c r="J55" s="27" t="s">
        <v>156</v>
      </c>
      <c r="K55" s="9"/>
      <c r="L55" s="9"/>
      <c r="M55" s="9"/>
      <c r="N55" s="9"/>
      <c r="P55" s="28" t="s">
        <v>156</v>
      </c>
      <c r="Q55" s="18"/>
      <c r="R55" s="19"/>
      <c r="S55" s="18"/>
      <c r="T55" s="18"/>
      <c r="U55" s="29" t="s">
        <v>156</v>
      </c>
      <c r="V55" s="18"/>
      <c r="W55" s="18"/>
      <c r="AF55" s="30" t="s">
        <v>156</v>
      </c>
      <c r="AK55" s="31" t="s">
        <v>156</v>
      </c>
    </row>
    <row r="56" spans="2:37" s="14" customFormat="1" ht="10.5" hidden="1" customHeight="1" x14ac:dyDescent="0.2">
      <c r="B56" s="9"/>
      <c r="C56" s="9"/>
      <c r="D56" s="32" t="s">
        <v>156</v>
      </c>
      <c r="E56" s="179"/>
      <c r="F56" s="9"/>
      <c r="G56" s="9"/>
      <c r="H56" s="9"/>
      <c r="I56" s="9"/>
      <c r="J56" s="33" t="s">
        <v>156</v>
      </c>
      <c r="K56" s="9"/>
      <c r="L56" s="9"/>
      <c r="M56" s="9"/>
      <c r="N56" s="9"/>
      <c r="P56" s="34" t="s">
        <v>156</v>
      </c>
      <c r="Q56" s="18"/>
      <c r="R56" s="19"/>
      <c r="S56" s="18"/>
      <c r="T56" s="18"/>
      <c r="U56" s="35" t="s">
        <v>156</v>
      </c>
      <c r="V56" s="18"/>
      <c r="W56" s="18"/>
      <c r="AF56" s="35" t="s">
        <v>156</v>
      </c>
      <c r="AK56" s="36" t="s">
        <v>156</v>
      </c>
    </row>
    <row r="57" spans="2:37" s="14" customFormat="1" ht="10.5" hidden="1" customHeight="1" x14ac:dyDescent="0.2">
      <c r="B57" s="9"/>
      <c r="C57" s="9"/>
      <c r="D57" s="27" t="s">
        <v>156</v>
      </c>
      <c r="E57" s="178"/>
      <c r="F57" s="9"/>
      <c r="G57" s="9"/>
      <c r="H57" s="9"/>
      <c r="I57" s="9"/>
      <c r="J57" s="27" t="s">
        <v>156</v>
      </c>
      <c r="K57" s="9"/>
      <c r="L57" s="9"/>
      <c r="M57" s="9"/>
      <c r="N57" s="9"/>
      <c r="P57" s="28" t="s">
        <v>156</v>
      </c>
      <c r="Q57" s="18"/>
      <c r="R57" s="19"/>
      <c r="S57" s="18"/>
      <c r="T57" s="18"/>
      <c r="U57" s="29" t="s">
        <v>156</v>
      </c>
      <c r="V57" s="18"/>
      <c r="W57" s="18"/>
      <c r="AF57" s="30" t="s">
        <v>156</v>
      </c>
      <c r="AK57" s="31" t="s">
        <v>156</v>
      </c>
    </row>
    <row r="58" spans="2:37" s="14" customFormat="1" ht="10.5" hidden="1" customHeight="1" x14ac:dyDescent="0.2">
      <c r="B58" s="9"/>
      <c r="C58" s="9"/>
      <c r="D58" s="32" t="s">
        <v>156</v>
      </c>
      <c r="E58" s="179"/>
      <c r="F58" s="9"/>
      <c r="G58" s="9"/>
      <c r="H58" s="9"/>
      <c r="I58" s="9"/>
      <c r="J58" s="33" t="s">
        <v>156</v>
      </c>
      <c r="K58" s="9"/>
      <c r="L58" s="9"/>
      <c r="M58" s="9"/>
      <c r="N58" s="9"/>
      <c r="P58" s="34" t="s">
        <v>156</v>
      </c>
      <c r="Q58" s="18"/>
      <c r="R58" s="19"/>
      <c r="S58" s="18"/>
      <c r="T58" s="18"/>
      <c r="U58" s="35" t="s">
        <v>156</v>
      </c>
      <c r="V58" s="18"/>
      <c r="W58" s="18"/>
      <c r="AF58" s="35" t="s">
        <v>156</v>
      </c>
      <c r="AK58" s="36" t="s">
        <v>156</v>
      </c>
    </row>
    <row r="59" spans="2:37" s="14" customFormat="1" ht="10.5" hidden="1" customHeight="1" x14ac:dyDescent="0.2">
      <c r="B59" s="9"/>
      <c r="C59" s="9"/>
      <c r="D59" s="27" t="s">
        <v>156</v>
      </c>
      <c r="E59" s="178"/>
      <c r="F59" s="9"/>
      <c r="G59" s="9"/>
      <c r="H59" s="9"/>
      <c r="I59" s="9"/>
      <c r="J59" s="27" t="s">
        <v>156</v>
      </c>
      <c r="K59" s="9"/>
      <c r="L59" s="9"/>
      <c r="M59" s="9"/>
      <c r="N59" s="9"/>
      <c r="P59" s="28" t="s">
        <v>156</v>
      </c>
      <c r="Q59" s="18"/>
      <c r="R59" s="19"/>
      <c r="S59" s="18"/>
      <c r="T59" s="18"/>
      <c r="U59" s="29" t="s">
        <v>156</v>
      </c>
      <c r="V59" s="18"/>
      <c r="W59" s="18"/>
      <c r="AF59" s="30" t="s">
        <v>156</v>
      </c>
      <c r="AK59" s="31" t="s">
        <v>156</v>
      </c>
    </row>
    <row r="60" spans="2:37" s="14" customFormat="1" ht="10.5" hidden="1" customHeight="1" x14ac:dyDescent="0.2">
      <c r="B60" s="9"/>
      <c r="C60" s="9"/>
      <c r="D60" s="32" t="s">
        <v>156</v>
      </c>
      <c r="E60" s="179"/>
      <c r="F60" s="9"/>
      <c r="G60" s="9"/>
      <c r="H60" s="9"/>
      <c r="I60" s="9"/>
      <c r="J60" s="33" t="s">
        <v>156</v>
      </c>
      <c r="K60" s="9"/>
      <c r="L60" s="9"/>
      <c r="M60" s="9"/>
      <c r="N60" s="9"/>
      <c r="P60" s="34" t="s">
        <v>156</v>
      </c>
      <c r="Q60" s="18"/>
      <c r="R60" s="19"/>
      <c r="S60" s="18"/>
      <c r="T60" s="18"/>
      <c r="U60" s="35" t="s">
        <v>156</v>
      </c>
      <c r="V60" s="18"/>
      <c r="W60" s="18"/>
      <c r="AF60" s="35" t="s">
        <v>156</v>
      </c>
      <c r="AK60" s="36" t="s">
        <v>156</v>
      </c>
    </row>
    <row r="61" spans="2:37" s="14" customFormat="1" ht="10.5" hidden="1" customHeight="1" x14ac:dyDescent="0.2">
      <c r="B61" s="9"/>
      <c r="C61" s="9"/>
      <c r="D61" s="27" t="s">
        <v>156</v>
      </c>
      <c r="E61" s="178"/>
      <c r="F61" s="9"/>
      <c r="G61" s="9"/>
      <c r="H61" s="9"/>
      <c r="I61" s="9"/>
      <c r="J61" s="27" t="s">
        <v>156</v>
      </c>
      <c r="K61" s="9"/>
      <c r="L61" s="9"/>
      <c r="M61" s="9"/>
      <c r="N61" s="9"/>
      <c r="P61" s="28" t="s">
        <v>156</v>
      </c>
      <c r="Q61" s="18"/>
      <c r="R61" s="19"/>
      <c r="S61" s="18"/>
      <c r="T61" s="18"/>
      <c r="U61" s="29" t="s">
        <v>156</v>
      </c>
      <c r="V61" s="18"/>
      <c r="W61" s="18"/>
      <c r="AF61" s="30" t="s">
        <v>156</v>
      </c>
      <c r="AK61" s="31" t="s">
        <v>156</v>
      </c>
    </row>
    <row r="62" spans="2:37" s="14" customFormat="1" ht="10.5" hidden="1" customHeight="1" x14ac:dyDescent="0.2">
      <c r="B62" s="9"/>
      <c r="C62" s="9"/>
      <c r="D62" s="32" t="s">
        <v>156</v>
      </c>
      <c r="E62" s="179"/>
      <c r="F62" s="9"/>
      <c r="G62" s="9"/>
      <c r="H62" s="9"/>
      <c r="I62" s="9"/>
      <c r="J62" s="33" t="s">
        <v>156</v>
      </c>
      <c r="K62" s="9"/>
      <c r="L62" s="9"/>
      <c r="M62" s="9"/>
      <c r="N62" s="9"/>
      <c r="P62" s="34" t="s">
        <v>156</v>
      </c>
      <c r="Q62" s="18"/>
      <c r="R62" s="19"/>
      <c r="S62" s="18"/>
      <c r="T62" s="18"/>
      <c r="U62" s="35" t="s">
        <v>156</v>
      </c>
      <c r="V62" s="18"/>
      <c r="W62" s="18"/>
      <c r="AF62" s="35" t="s">
        <v>156</v>
      </c>
      <c r="AK62" s="36" t="s">
        <v>156</v>
      </c>
    </row>
    <row r="63" spans="2:37" s="14" customFormat="1" ht="10.5" hidden="1" customHeight="1" x14ac:dyDescent="0.2">
      <c r="B63" s="9"/>
      <c r="C63" s="9"/>
      <c r="D63" s="27" t="s">
        <v>156</v>
      </c>
      <c r="E63" s="178"/>
      <c r="F63" s="9"/>
      <c r="G63" s="9"/>
      <c r="H63" s="9"/>
      <c r="I63" s="9"/>
      <c r="J63" s="27" t="s">
        <v>156</v>
      </c>
      <c r="K63" s="9"/>
      <c r="L63" s="9"/>
      <c r="M63" s="9"/>
      <c r="N63" s="9"/>
      <c r="P63" s="28" t="s">
        <v>156</v>
      </c>
      <c r="Q63" s="18"/>
      <c r="R63" s="19"/>
      <c r="S63" s="18"/>
      <c r="T63" s="18"/>
      <c r="U63" s="29" t="s">
        <v>156</v>
      </c>
      <c r="V63" s="18"/>
      <c r="W63" s="18"/>
      <c r="AF63" s="30" t="s">
        <v>156</v>
      </c>
      <c r="AK63" s="31" t="s">
        <v>156</v>
      </c>
    </row>
    <row r="64" spans="2:37" s="14" customFormat="1" ht="10.5" hidden="1" customHeight="1" x14ac:dyDescent="0.2">
      <c r="B64" s="9"/>
      <c r="C64" s="9"/>
      <c r="D64" s="32" t="s">
        <v>156</v>
      </c>
      <c r="E64" s="179"/>
      <c r="F64" s="9"/>
      <c r="G64" s="9"/>
      <c r="H64" s="9"/>
      <c r="I64" s="9"/>
      <c r="J64" s="33" t="s">
        <v>156</v>
      </c>
      <c r="K64" s="9"/>
      <c r="L64" s="9"/>
      <c r="M64" s="9"/>
      <c r="N64" s="9"/>
      <c r="P64" s="34" t="s">
        <v>156</v>
      </c>
      <c r="Q64" s="18"/>
      <c r="R64" s="19"/>
      <c r="S64" s="18"/>
      <c r="T64" s="18"/>
      <c r="U64" s="35" t="s">
        <v>156</v>
      </c>
      <c r="V64" s="18"/>
      <c r="W64" s="18"/>
      <c r="AF64" s="35" t="s">
        <v>156</v>
      </c>
      <c r="AK64" s="36" t="s">
        <v>156</v>
      </c>
    </row>
    <row r="65" spans="2:37" s="14" customFormat="1" ht="10.5" hidden="1" customHeight="1" x14ac:dyDescent="0.2">
      <c r="B65" s="9"/>
      <c r="C65" s="9"/>
      <c r="D65" s="27" t="s">
        <v>156</v>
      </c>
      <c r="E65" s="178"/>
      <c r="F65" s="9"/>
      <c r="G65" s="9"/>
      <c r="H65" s="9"/>
      <c r="I65" s="9"/>
      <c r="J65" s="27" t="s">
        <v>156</v>
      </c>
      <c r="K65" s="9"/>
      <c r="L65" s="9"/>
      <c r="M65" s="9"/>
      <c r="N65" s="9"/>
      <c r="P65" s="28" t="s">
        <v>156</v>
      </c>
      <c r="Q65" s="18"/>
      <c r="R65" s="19"/>
      <c r="S65" s="18"/>
      <c r="T65" s="18"/>
      <c r="U65" s="29" t="s">
        <v>156</v>
      </c>
      <c r="V65" s="18"/>
      <c r="W65" s="18"/>
      <c r="AF65" s="30" t="s">
        <v>156</v>
      </c>
      <c r="AK65" s="31" t="s">
        <v>156</v>
      </c>
    </row>
    <row r="66" spans="2:37" s="14" customFormat="1" ht="10.5" hidden="1" customHeight="1" x14ac:dyDescent="0.2">
      <c r="B66" s="9"/>
      <c r="C66" s="9"/>
      <c r="D66" s="32" t="s">
        <v>156</v>
      </c>
      <c r="E66" s="179"/>
      <c r="F66" s="9"/>
      <c r="G66" s="9"/>
      <c r="H66" s="9"/>
      <c r="I66" s="9"/>
      <c r="J66" s="33" t="s">
        <v>156</v>
      </c>
      <c r="K66" s="9"/>
      <c r="L66" s="9"/>
      <c r="M66" s="9"/>
      <c r="N66" s="9"/>
      <c r="P66" s="34" t="s">
        <v>156</v>
      </c>
      <c r="Q66" s="18"/>
      <c r="R66" s="19"/>
      <c r="S66" s="18"/>
      <c r="T66" s="18"/>
      <c r="U66" s="35" t="s">
        <v>156</v>
      </c>
      <c r="V66" s="18"/>
      <c r="W66" s="18"/>
      <c r="AF66" s="35" t="s">
        <v>156</v>
      </c>
      <c r="AK66" s="36" t="s">
        <v>156</v>
      </c>
    </row>
    <row r="67" spans="2:37" s="14" customFormat="1" ht="10.5" hidden="1" customHeight="1" x14ac:dyDescent="0.2">
      <c r="B67" s="9"/>
      <c r="C67" s="9"/>
      <c r="D67" s="27" t="s">
        <v>156</v>
      </c>
      <c r="E67" s="178"/>
      <c r="F67" s="9"/>
      <c r="G67" s="9"/>
      <c r="H67" s="9"/>
      <c r="I67" s="9"/>
      <c r="J67" s="27" t="s">
        <v>156</v>
      </c>
      <c r="K67" s="9"/>
      <c r="L67" s="9"/>
      <c r="M67" s="9"/>
      <c r="N67" s="9"/>
      <c r="P67" s="28" t="s">
        <v>156</v>
      </c>
      <c r="Q67" s="18"/>
      <c r="R67" s="19"/>
      <c r="S67" s="18"/>
      <c r="T67" s="18"/>
      <c r="U67" s="29" t="s">
        <v>156</v>
      </c>
      <c r="V67" s="18"/>
      <c r="W67" s="18"/>
      <c r="AF67" s="30" t="s">
        <v>156</v>
      </c>
      <c r="AK67" s="31" t="s">
        <v>156</v>
      </c>
    </row>
    <row r="68" spans="2:37" s="14" customFormat="1" ht="10.5" hidden="1" customHeight="1" x14ac:dyDescent="0.2">
      <c r="B68" s="9"/>
      <c r="C68" s="9"/>
      <c r="D68" s="32" t="s">
        <v>156</v>
      </c>
      <c r="E68" s="179"/>
      <c r="F68" s="9"/>
      <c r="G68" s="9"/>
      <c r="H68" s="9"/>
      <c r="I68" s="9"/>
      <c r="J68" s="33" t="s">
        <v>156</v>
      </c>
      <c r="K68" s="9"/>
      <c r="L68" s="9"/>
      <c r="M68" s="9"/>
      <c r="N68" s="9"/>
      <c r="P68" s="34" t="s">
        <v>156</v>
      </c>
      <c r="Q68" s="18"/>
      <c r="R68" s="19"/>
      <c r="S68" s="18"/>
      <c r="T68" s="18"/>
      <c r="U68" s="35" t="s">
        <v>156</v>
      </c>
      <c r="V68" s="18"/>
      <c r="W68" s="18"/>
      <c r="AF68" s="35" t="s">
        <v>156</v>
      </c>
      <c r="AK68" s="36" t="s">
        <v>156</v>
      </c>
    </row>
    <row r="69" spans="2:37" s="14" customFormat="1" ht="10.5" hidden="1" customHeight="1" x14ac:dyDescent="0.2">
      <c r="B69" s="9"/>
      <c r="C69" s="9"/>
      <c r="D69" s="27" t="s">
        <v>156</v>
      </c>
      <c r="E69" s="178"/>
      <c r="F69" s="9"/>
      <c r="G69" s="9"/>
      <c r="H69" s="9"/>
      <c r="I69" s="9"/>
      <c r="J69" s="27" t="s">
        <v>156</v>
      </c>
      <c r="K69" s="9"/>
      <c r="L69" s="9"/>
      <c r="M69" s="9"/>
      <c r="N69" s="9"/>
      <c r="P69" s="28" t="s">
        <v>156</v>
      </c>
      <c r="Q69" s="18"/>
      <c r="R69" s="19"/>
      <c r="S69" s="18"/>
      <c r="T69" s="18"/>
      <c r="U69" s="29" t="s">
        <v>156</v>
      </c>
      <c r="V69" s="18"/>
      <c r="W69" s="18"/>
      <c r="AF69" s="30" t="s">
        <v>156</v>
      </c>
      <c r="AK69" s="31" t="s">
        <v>156</v>
      </c>
    </row>
    <row r="70" spans="2:37" s="14" customFormat="1" ht="10.5" hidden="1" customHeight="1" x14ac:dyDescent="0.2">
      <c r="B70" s="9"/>
      <c r="C70" s="9"/>
      <c r="D70" s="32" t="s">
        <v>156</v>
      </c>
      <c r="E70" s="179"/>
      <c r="F70" s="9"/>
      <c r="G70" s="9"/>
      <c r="H70" s="9"/>
      <c r="I70" s="9"/>
      <c r="J70" s="33" t="s">
        <v>156</v>
      </c>
      <c r="K70" s="9"/>
      <c r="L70" s="9"/>
      <c r="M70" s="9"/>
      <c r="N70" s="9"/>
      <c r="P70" s="34" t="s">
        <v>156</v>
      </c>
      <c r="Q70" s="18"/>
      <c r="R70" s="19"/>
      <c r="S70" s="18"/>
      <c r="T70" s="18"/>
      <c r="U70" s="35" t="s">
        <v>156</v>
      </c>
      <c r="V70" s="18"/>
      <c r="W70" s="18"/>
      <c r="AF70" s="35" t="s">
        <v>156</v>
      </c>
      <c r="AK70" s="36" t="s">
        <v>156</v>
      </c>
    </row>
    <row r="71" spans="2:37" s="14" customFormat="1" ht="10.5" hidden="1" customHeight="1" x14ac:dyDescent="0.2">
      <c r="B71" s="9"/>
      <c r="C71" s="9"/>
      <c r="D71" s="27" t="s">
        <v>156</v>
      </c>
      <c r="E71" s="178"/>
      <c r="F71" s="9"/>
      <c r="G71" s="9"/>
      <c r="H71" s="9"/>
      <c r="I71" s="9"/>
      <c r="J71" s="27" t="s">
        <v>156</v>
      </c>
      <c r="K71" s="9"/>
      <c r="L71" s="9"/>
      <c r="M71" s="9"/>
      <c r="N71" s="9"/>
      <c r="P71" s="28" t="s">
        <v>156</v>
      </c>
      <c r="Q71" s="18"/>
      <c r="R71" s="19"/>
      <c r="S71" s="18"/>
      <c r="T71" s="18"/>
      <c r="U71" s="29" t="s">
        <v>156</v>
      </c>
      <c r="V71" s="18"/>
      <c r="W71" s="18"/>
      <c r="AF71" s="30" t="s">
        <v>156</v>
      </c>
      <c r="AK71" s="31" t="s">
        <v>156</v>
      </c>
    </row>
    <row r="72" spans="2:37" s="14" customFormat="1" ht="10.5" hidden="1" customHeight="1" x14ac:dyDescent="0.2">
      <c r="B72" s="9"/>
      <c r="C72" s="9"/>
      <c r="D72" s="32" t="s">
        <v>156</v>
      </c>
      <c r="E72" s="179"/>
      <c r="F72" s="9"/>
      <c r="G72" s="9"/>
      <c r="H72" s="9"/>
      <c r="I72" s="9"/>
      <c r="J72" s="33" t="s">
        <v>156</v>
      </c>
      <c r="K72" s="9"/>
      <c r="L72" s="9"/>
      <c r="M72" s="9"/>
      <c r="N72" s="9"/>
      <c r="P72" s="34" t="s">
        <v>156</v>
      </c>
      <c r="Q72" s="18"/>
      <c r="R72" s="19"/>
      <c r="S72" s="18"/>
      <c r="T72" s="18"/>
      <c r="U72" s="35" t="s">
        <v>156</v>
      </c>
      <c r="V72" s="18"/>
      <c r="W72" s="18"/>
      <c r="AF72" s="35" t="s">
        <v>156</v>
      </c>
      <c r="AK72" s="36" t="s">
        <v>156</v>
      </c>
    </row>
    <row r="73" spans="2:37" s="14" customFormat="1" ht="10.5" hidden="1" customHeight="1" x14ac:dyDescent="0.2">
      <c r="B73" s="9"/>
      <c r="C73" s="9"/>
      <c r="D73" s="27" t="s">
        <v>156</v>
      </c>
      <c r="E73" s="178"/>
      <c r="F73" s="9"/>
      <c r="G73" s="9"/>
      <c r="H73" s="9"/>
      <c r="I73" s="9"/>
      <c r="J73" s="27" t="s">
        <v>156</v>
      </c>
      <c r="K73" s="9"/>
      <c r="L73" s="9"/>
      <c r="M73" s="9"/>
      <c r="N73" s="9"/>
      <c r="P73" s="28" t="s">
        <v>156</v>
      </c>
      <c r="Q73" s="18"/>
      <c r="R73" s="19"/>
      <c r="S73" s="18"/>
      <c r="T73" s="18"/>
      <c r="U73" s="29" t="s">
        <v>156</v>
      </c>
      <c r="V73" s="18"/>
      <c r="W73" s="18"/>
      <c r="AF73" s="30" t="s">
        <v>156</v>
      </c>
      <c r="AK73" s="31" t="s">
        <v>156</v>
      </c>
    </row>
    <row r="74" spans="2:37" s="14" customFormat="1" ht="10.5" hidden="1" customHeight="1" x14ac:dyDescent="0.2">
      <c r="B74" s="9"/>
      <c r="C74" s="9"/>
      <c r="D74" s="32" t="s">
        <v>156</v>
      </c>
      <c r="E74" s="179"/>
      <c r="F74" s="9"/>
      <c r="G74" s="9"/>
      <c r="H74" s="9"/>
      <c r="I74" s="9"/>
      <c r="J74" s="33" t="s">
        <v>156</v>
      </c>
      <c r="K74" s="9"/>
      <c r="L74" s="9"/>
      <c r="M74" s="9"/>
      <c r="N74" s="9"/>
      <c r="P74" s="34" t="s">
        <v>156</v>
      </c>
      <c r="Q74" s="18"/>
      <c r="R74" s="19"/>
      <c r="S74" s="18"/>
      <c r="T74" s="18"/>
      <c r="U74" s="35" t="s">
        <v>156</v>
      </c>
      <c r="V74" s="18"/>
      <c r="W74" s="18"/>
      <c r="AF74" s="35" t="s">
        <v>156</v>
      </c>
      <c r="AK74" s="36" t="s">
        <v>156</v>
      </c>
    </row>
    <row r="75" spans="2:37" s="14" customFormat="1" ht="10.5" hidden="1" customHeight="1" x14ac:dyDescent="0.2">
      <c r="B75" s="9"/>
      <c r="C75" s="9"/>
      <c r="D75" s="27" t="s">
        <v>156</v>
      </c>
      <c r="E75" s="178"/>
      <c r="F75" s="9"/>
      <c r="G75" s="9"/>
      <c r="H75" s="9"/>
      <c r="I75" s="9"/>
      <c r="J75" s="27" t="s">
        <v>156</v>
      </c>
      <c r="K75" s="9"/>
      <c r="L75" s="9"/>
      <c r="M75" s="9"/>
      <c r="N75" s="9"/>
      <c r="P75" s="28" t="s">
        <v>156</v>
      </c>
      <c r="Q75" s="18"/>
      <c r="R75" s="19"/>
      <c r="S75" s="18"/>
      <c r="T75" s="18"/>
      <c r="U75" s="29" t="s">
        <v>156</v>
      </c>
      <c r="V75" s="18"/>
      <c r="W75" s="18"/>
      <c r="AF75" s="30" t="s">
        <v>156</v>
      </c>
      <c r="AK75" s="31" t="s">
        <v>156</v>
      </c>
    </row>
    <row r="76" spans="2:37" s="14" customFormat="1" ht="10.5" hidden="1" customHeight="1" x14ac:dyDescent="0.2">
      <c r="B76" s="9"/>
      <c r="C76" s="9"/>
      <c r="D76" s="32" t="s">
        <v>156</v>
      </c>
      <c r="E76" s="179"/>
      <c r="F76" s="9"/>
      <c r="G76" s="9"/>
      <c r="H76" s="9"/>
      <c r="I76" s="9"/>
      <c r="J76" s="33" t="s">
        <v>156</v>
      </c>
      <c r="K76" s="9"/>
      <c r="L76" s="9"/>
      <c r="M76" s="9"/>
      <c r="N76" s="9"/>
      <c r="P76" s="34" t="s">
        <v>156</v>
      </c>
      <c r="Q76" s="18"/>
      <c r="R76" s="19"/>
      <c r="S76" s="18"/>
      <c r="T76" s="18"/>
      <c r="U76" s="35" t="s">
        <v>156</v>
      </c>
      <c r="V76" s="18"/>
      <c r="W76" s="18"/>
      <c r="AF76" s="35" t="s">
        <v>156</v>
      </c>
      <c r="AK76" s="36" t="s">
        <v>156</v>
      </c>
    </row>
    <row r="77" spans="2:37" s="14" customFormat="1" ht="10.5" hidden="1" customHeight="1" x14ac:dyDescent="0.2">
      <c r="B77" s="9"/>
      <c r="C77" s="9"/>
      <c r="D77" s="27" t="s">
        <v>156</v>
      </c>
      <c r="E77" s="178"/>
      <c r="F77" s="9"/>
      <c r="G77" s="9"/>
      <c r="H77" s="9"/>
      <c r="I77" s="9"/>
      <c r="J77" s="27" t="s">
        <v>156</v>
      </c>
      <c r="K77" s="9"/>
      <c r="L77" s="9"/>
      <c r="M77" s="9"/>
      <c r="N77" s="9"/>
      <c r="P77" s="28" t="s">
        <v>156</v>
      </c>
      <c r="Q77" s="18"/>
      <c r="R77" s="19"/>
      <c r="S77" s="18"/>
      <c r="T77" s="18"/>
      <c r="U77" s="29" t="s">
        <v>156</v>
      </c>
      <c r="V77" s="18"/>
      <c r="W77" s="18"/>
      <c r="AF77" s="30" t="s">
        <v>156</v>
      </c>
      <c r="AK77" s="31" t="s">
        <v>156</v>
      </c>
    </row>
    <row r="78" spans="2:37" s="14" customFormat="1" ht="10.5" hidden="1" customHeight="1" x14ac:dyDescent="0.2">
      <c r="B78" s="9"/>
      <c r="C78" s="9"/>
      <c r="D78" s="32" t="s">
        <v>156</v>
      </c>
      <c r="E78" s="179"/>
      <c r="F78" s="9"/>
      <c r="G78" s="9"/>
      <c r="H78" s="9"/>
      <c r="I78" s="9"/>
      <c r="J78" s="33" t="s">
        <v>156</v>
      </c>
      <c r="K78" s="9"/>
      <c r="L78" s="9"/>
      <c r="M78" s="9"/>
      <c r="N78" s="9"/>
      <c r="P78" s="34" t="s">
        <v>156</v>
      </c>
      <c r="Q78" s="18"/>
      <c r="R78" s="19"/>
      <c r="S78" s="18"/>
      <c r="T78" s="18"/>
      <c r="U78" s="35" t="s">
        <v>156</v>
      </c>
      <c r="V78" s="18"/>
      <c r="W78" s="18"/>
      <c r="AF78" s="35" t="s">
        <v>156</v>
      </c>
      <c r="AK78" s="36" t="s">
        <v>156</v>
      </c>
    </row>
    <row r="79" spans="2:37" s="14" customFormat="1" ht="10.5" hidden="1" customHeight="1" x14ac:dyDescent="0.2">
      <c r="B79" s="9"/>
      <c r="C79" s="9"/>
      <c r="D79" s="27" t="s">
        <v>156</v>
      </c>
      <c r="E79" s="178"/>
      <c r="F79" s="9"/>
      <c r="G79" s="9"/>
      <c r="H79" s="9"/>
      <c r="I79" s="9"/>
      <c r="J79" s="27" t="s">
        <v>156</v>
      </c>
      <c r="K79" s="9"/>
      <c r="L79" s="9"/>
      <c r="M79" s="9"/>
      <c r="N79" s="9"/>
      <c r="P79" s="28" t="s">
        <v>156</v>
      </c>
      <c r="Q79" s="18"/>
      <c r="R79" s="19"/>
      <c r="S79" s="18"/>
      <c r="T79" s="18"/>
      <c r="U79" s="29" t="s">
        <v>156</v>
      </c>
      <c r="V79" s="18"/>
      <c r="W79" s="18"/>
      <c r="AF79" s="30" t="s">
        <v>156</v>
      </c>
      <c r="AK79" s="31" t="s">
        <v>156</v>
      </c>
    </row>
    <row r="80" spans="2:37" s="14" customFormat="1" ht="10.5" hidden="1" customHeight="1" x14ac:dyDescent="0.2">
      <c r="B80" s="9"/>
      <c r="C80" s="9"/>
      <c r="D80" s="32" t="s">
        <v>156</v>
      </c>
      <c r="E80" s="179"/>
      <c r="F80" s="9"/>
      <c r="G80" s="9"/>
      <c r="H80" s="9"/>
      <c r="I80" s="9"/>
      <c r="J80" s="33" t="s">
        <v>156</v>
      </c>
      <c r="K80" s="9"/>
      <c r="L80" s="9"/>
      <c r="M80" s="9"/>
      <c r="N80" s="9"/>
      <c r="P80" s="34" t="s">
        <v>156</v>
      </c>
      <c r="Q80" s="18"/>
      <c r="R80" s="19"/>
      <c r="S80" s="18"/>
      <c r="T80" s="18"/>
      <c r="U80" s="35" t="s">
        <v>156</v>
      </c>
      <c r="V80" s="18"/>
      <c r="W80" s="18"/>
      <c r="AF80" s="35" t="s">
        <v>156</v>
      </c>
      <c r="AK80" s="36" t="s">
        <v>156</v>
      </c>
    </row>
    <row r="81" spans="2:37" s="14" customFormat="1" ht="10.5" hidden="1" customHeight="1" x14ac:dyDescent="0.2">
      <c r="B81" s="9"/>
      <c r="C81" s="9"/>
      <c r="D81" s="27" t="s">
        <v>156</v>
      </c>
      <c r="E81" s="178"/>
      <c r="F81" s="9"/>
      <c r="G81" s="9"/>
      <c r="H81" s="9"/>
      <c r="I81" s="9"/>
      <c r="J81" s="27" t="s">
        <v>156</v>
      </c>
      <c r="K81" s="9"/>
      <c r="L81" s="9"/>
      <c r="M81" s="9"/>
      <c r="N81" s="9"/>
      <c r="P81" s="28" t="s">
        <v>156</v>
      </c>
      <c r="Q81" s="18"/>
      <c r="R81" s="19"/>
      <c r="S81" s="18"/>
      <c r="T81" s="18"/>
      <c r="U81" s="29" t="s">
        <v>156</v>
      </c>
      <c r="V81" s="18"/>
      <c r="W81" s="18"/>
      <c r="AF81" s="30" t="s">
        <v>156</v>
      </c>
      <c r="AK81" s="31" t="s">
        <v>156</v>
      </c>
    </row>
    <row r="82" spans="2:37" s="14" customFormat="1" ht="10.5" hidden="1" customHeight="1" x14ac:dyDescent="0.2">
      <c r="B82" s="9"/>
      <c r="C82" s="9"/>
      <c r="D82" s="32" t="s">
        <v>156</v>
      </c>
      <c r="E82" s="179"/>
      <c r="F82" s="9"/>
      <c r="G82" s="9"/>
      <c r="H82" s="9"/>
      <c r="I82" s="9"/>
      <c r="J82" s="33" t="s">
        <v>156</v>
      </c>
      <c r="K82" s="9"/>
      <c r="L82" s="9"/>
      <c r="M82" s="9"/>
      <c r="N82" s="9"/>
      <c r="P82" s="34" t="s">
        <v>156</v>
      </c>
      <c r="Q82" s="18"/>
      <c r="R82" s="19"/>
      <c r="S82" s="18"/>
      <c r="T82" s="18"/>
      <c r="U82" s="35" t="s">
        <v>156</v>
      </c>
      <c r="V82" s="18"/>
      <c r="W82" s="18"/>
      <c r="AF82" s="35" t="s">
        <v>156</v>
      </c>
      <c r="AK82" s="36" t="s">
        <v>156</v>
      </c>
    </row>
    <row r="83" spans="2:37" s="14" customFormat="1" ht="10.5" hidden="1" customHeight="1" x14ac:dyDescent="0.2">
      <c r="B83" s="9"/>
      <c r="C83" s="9"/>
      <c r="D83" s="27" t="s">
        <v>156</v>
      </c>
      <c r="E83" s="178"/>
      <c r="F83" s="9"/>
      <c r="G83" s="9"/>
      <c r="H83" s="9"/>
      <c r="I83" s="9"/>
      <c r="J83" s="27" t="s">
        <v>156</v>
      </c>
      <c r="K83" s="9"/>
      <c r="L83" s="9"/>
      <c r="M83" s="9"/>
      <c r="N83" s="9"/>
      <c r="P83" s="28" t="s">
        <v>156</v>
      </c>
      <c r="Q83" s="18"/>
      <c r="R83" s="19"/>
      <c r="S83" s="18"/>
      <c r="T83" s="18"/>
      <c r="U83" s="29" t="s">
        <v>156</v>
      </c>
      <c r="V83" s="18"/>
      <c r="W83" s="18"/>
      <c r="AF83" s="30" t="s">
        <v>156</v>
      </c>
      <c r="AK83" s="31" t="s">
        <v>156</v>
      </c>
    </row>
    <row r="84" spans="2:37" s="14" customFormat="1" ht="10.5" hidden="1" customHeight="1" x14ac:dyDescent="0.2">
      <c r="B84" s="9"/>
      <c r="C84" s="9"/>
      <c r="D84" s="32" t="s">
        <v>156</v>
      </c>
      <c r="E84" s="179"/>
      <c r="F84" s="9"/>
      <c r="G84" s="9"/>
      <c r="H84" s="9"/>
      <c r="I84" s="9"/>
      <c r="J84" s="33" t="s">
        <v>156</v>
      </c>
      <c r="K84" s="9"/>
      <c r="L84" s="9"/>
      <c r="M84" s="9"/>
      <c r="N84" s="9"/>
      <c r="P84" s="34" t="s">
        <v>156</v>
      </c>
      <c r="Q84" s="18"/>
      <c r="R84" s="19"/>
      <c r="S84" s="18"/>
      <c r="T84" s="18"/>
      <c r="U84" s="35" t="s">
        <v>156</v>
      </c>
      <c r="V84" s="18"/>
      <c r="W84" s="18"/>
      <c r="AF84" s="35" t="s">
        <v>156</v>
      </c>
      <c r="AK84" s="36" t="s">
        <v>156</v>
      </c>
    </row>
    <row r="85" spans="2:37" s="14" customFormat="1" ht="10.5" hidden="1" customHeight="1" x14ac:dyDescent="0.2">
      <c r="B85" s="9"/>
      <c r="C85" s="9"/>
      <c r="D85" s="27" t="s">
        <v>156</v>
      </c>
      <c r="E85" s="178"/>
      <c r="F85" s="9"/>
      <c r="G85" s="9"/>
      <c r="H85" s="9"/>
      <c r="I85" s="9"/>
      <c r="J85" s="27" t="s">
        <v>156</v>
      </c>
      <c r="K85" s="9"/>
      <c r="L85" s="9"/>
      <c r="M85" s="9"/>
      <c r="N85" s="9"/>
      <c r="P85" s="28" t="s">
        <v>156</v>
      </c>
      <c r="Q85" s="18"/>
      <c r="R85" s="19"/>
      <c r="S85" s="18"/>
      <c r="T85" s="18"/>
      <c r="U85" s="29" t="s">
        <v>156</v>
      </c>
      <c r="V85" s="18"/>
      <c r="W85" s="18"/>
      <c r="AF85" s="30" t="s">
        <v>156</v>
      </c>
      <c r="AK85" s="31" t="s">
        <v>156</v>
      </c>
    </row>
    <row r="86" spans="2:37" s="14" customFormat="1" ht="10.5" hidden="1" customHeight="1" x14ac:dyDescent="0.2">
      <c r="B86" s="9"/>
      <c r="C86" s="9"/>
      <c r="D86" s="32" t="s">
        <v>156</v>
      </c>
      <c r="E86" s="179"/>
      <c r="F86" s="9"/>
      <c r="G86" s="9"/>
      <c r="H86" s="9"/>
      <c r="I86" s="9"/>
      <c r="J86" s="33" t="s">
        <v>156</v>
      </c>
      <c r="K86" s="9"/>
      <c r="L86" s="9"/>
      <c r="M86" s="9"/>
      <c r="N86" s="9"/>
      <c r="P86" s="34" t="s">
        <v>156</v>
      </c>
      <c r="Q86" s="18"/>
      <c r="R86" s="19"/>
      <c r="S86" s="18"/>
      <c r="T86" s="18"/>
      <c r="U86" s="35" t="s">
        <v>156</v>
      </c>
      <c r="V86" s="18"/>
      <c r="W86" s="18"/>
      <c r="AF86" s="35" t="s">
        <v>156</v>
      </c>
      <c r="AK86" s="36" t="s">
        <v>156</v>
      </c>
    </row>
    <row r="87" spans="2:37" s="14" customFormat="1" ht="10.5" hidden="1" customHeight="1" x14ac:dyDescent="0.2">
      <c r="B87" s="9"/>
      <c r="C87" s="9"/>
      <c r="D87" s="27" t="s">
        <v>156</v>
      </c>
      <c r="E87" s="178"/>
      <c r="F87" s="9"/>
      <c r="G87" s="9"/>
      <c r="H87" s="9"/>
      <c r="I87" s="9"/>
      <c r="J87" s="27" t="s">
        <v>156</v>
      </c>
      <c r="K87" s="9"/>
      <c r="L87" s="9"/>
      <c r="M87" s="9"/>
      <c r="N87" s="9"/>
      <c r="P87" s="28" t="s">
        <v>156</v>
      </c>
      <c r="Q87" s="18"/>
      <c r="R87" s="19"/>
      <c r="S87" s="18"/>
      <c r="T87" s="18"/>
      <c r="U87" s="29" t="s">
        <v>156</v>
      </c>
      <c r="V87" s="18"/>
      <c r="W87" s="18"/>
      <c r="AF87" s="30" t="s">
        <v>156</v>
      </c>
      <c r="AK87" s="31" t="s">
        <v>156</v>
      </c>
    </row>
    <row r="88" spans="2:37" s="14" customFormat="1" ht="10.5" hidden="1" customHeight="1" x14ac:dyDescent="0.2">
      <c r="B88" s="9"/>
      <c r="C88" s="9"/>
      <c r="D88" s="32" t="s">
        <v>156</v>
      </c>
      <c r="E88" s="179"/>
      <c r="F88" s="9"/>
      <c r="G88" s="9"/>
      <c r="H88" s="9"/>
      <c r="I88" s="9"/>
      <c r="J88" s="33" t="s">
        <v>156</v>
      </c>
      <c r="K88" s="9"/>
      <c r="L88" s="9"/>
      <c r="M88" s="9"/>
      <c r="N88" s="9"/>
      <c r="P88" s="34" t="s">
        <v>156</v>
      </c>
      <c r="Q88" s="18"/>
      <c r="R88" s="19"/>
      <c r="S88" s="18"/>
      <c r="T88" s="18"/>
      <c r="U88" s="35" t="s">
        <v>156</v>
      </c>
      <c r="V88" s="18"/>
      <c r="W88" s="18"/>
      <c r="AF88" s="35" t="s">
        <v>156</v>
      </c>
      <c r="AK88" s="36" t="s">
        <v>156</v>
      </c>
    </row>
    <row r="89" spans="2:37" s="14" customFormat="1" ht="10.5" hidden="1" customHeight="1" x14ac:dyDescent="0.2">
      <c r="B89" s="9"/>
      <c r="C89" s="9"/>
      <c r="D89" s="27" t="s">
        <v>156</v>
      </c>
      <c r="E89" s="178"/>
      <c r="F89" s="9"/>
      <c r="G89" s="9"/>
      <c r="H89" s="9"/>
      <c r="I89" s="9"/>
      <c r="J89" s="27" t="s">
        <v>156</v>
      </c>
      <c r="K89" s="9"/>
      <c r="L89" s="9"/>
      <c r="M89" s="9"/>
      <c r="N89" s="9"/>
      <c r="P89" s="28" t="s">
        <v>156</v>
      </c>
      <c r="Q89" s="18"/>
      <c r="R89" s="19"/>
      <c r="S89" s="18"/>
      <c r="T89" s="18"/>
      <c r="U89" s="29" t="s">
        <v>156</v>
      </c>
      <c r="V89" s="18"/>
      <c r="W89" s="18"/>
      <c r="AF89" s="30" t="s">
        <v>156</v>
      </c>
      <c r="AK89" s="31" t="s">
        <v>156</v>
      </c>
    </row>
    <row r="90" spans="2:37" s="14" customFormat="1" ht="10.5" hidden="1" customHeight="1" x14ac:dyDescent="0.2">
      <c r="B90" s="9"/>
      <c r="C90" s="9"/>
      <c r="D90" s="32" t="s">
        <v>156</v>
      </c>
      <c r="E90" s="179"/>
      <c r="F90" s="9"/>
      <c r="G90" s="9"/>
      <c r="H90" s="9"/>
      <c r="I90" s="9"/>
      <c r="J90" s="33" t="s">
        <v>156</v>
      </c>
      <c r="K90" s="9"/>
      <c r="L90" s="9"/>
      <c r="M90" s="9"/>
      <c r="N90" s="9"/>
      <c r="P90" s="34" t="s">
        <v>156</v>
      </c>
      <c r="Q90" s="18"/>
      <c r="R90" s="19"/>
      <c r="S90" s="18"/>
      <c r="T90" s="18"/>
      <c r="U90" s="35" t="s">
        <v>156</v>
      </c>
      <c r="V90" s="18"/>
      <c r="W90" s="18"/>
      <c r="AF90" s="35" t="s">
        <v>156</v>
      </c>
      <c r="AK90" s="36" t="s">
        <v>156</v>
      </c>
    </row>
    <row r="91" spans="2:37" s="14" customFormat="1" ht="10.5" hidden="1" customHeight="1" x14ac:dyDescent="0.2">
      <c r="B91" s="9"/>
      <c r="C91" s="9"/>
      <c r="D91" s="27" t="s">
        <v>156</v>
      </c>
      <c r="E91" s="178"/>
      <c r="F91" s="9"/>
      <c r="G91" s="9"/>
      <c r="H91" s="9"/>
      <c r="I91" s="9"/>
      <c r="J91" s="27" t="s">
        <v>156</v>
      </c>
      <c r="K91" s="9"/>
      <c r="L91" s="9"/>
      <c r="M91" s="9"/>
      <c r="N91" s="9"/>
      <c r="P91" s="28" t="s">
        <v>156</v>
      </c>
      <c r="Q91" s="18"/>
      <c r="R91" s="19"/>
      <c r="S91" s="18"/>
      <c r="T91" s="18"/>
      <c r="U91" s="29" t="s">
        <v>156</v>
      </c>
      <c r="V91" s="18"/>
      <c r="W91" s="18"/>
      <c r="AF91" s="30" t="s">
        <v>156</v>
      </c>
      <c r="AK91" s="31" t="s">
        <v>156</v>
      </c>
    </row>
    <row r="92" spans="2:37" s="14" customFormat="1" ht="10.5" hidden="1" customHeight="1" x14ac:dyDescent="0.2">
      <c r="B92" s="9"/>
      <c r="C92" s="9"/>
      <c r="D92" s="32" t="s">
        <v>156</v>
      </c>
      <c r="E92" s="179"/>
      <c r="F92" s="9"/>
      <c r="G92" s="9"/>
      <c r="H92" s="9"/>
      <c r="I92" s="9"/>
      <c r="J92" s="33" t="s">
        <v>156</v>
      </c>
      <c r="K92" s="9"/>
      <c r="L92" s="9"/>
      <c r="M92" s="9"/>
      <c r="N92" s="9"/>
      <c r="P92" s="34" t="s">
        <v>156</v>
      </c>
      <c r="Q92" s="18"/>
      <c r="R92" s="19"/>
      <c r="S92" s="18"/>
      <c r="T92" s="18"/>
      <c r="U92" s="35" t="s">
        <v>156</v>
      </c>
      <c r="V92" s="18"/>
      <c r="W92" s="18"/>
      <c r="AF92" s="35" t="s">
        <v>156</v>
      </c>
      <c r="AK92" s="36" t="s">
        <v>156</v>
      </c>
    </row>
    <row r="93" spans="2:37" s="14" customFormat="1" ht="10.5" hidden="1" customHeight="1" x14ac:dyDescent="0.2">
      <c r="B93" s="9"/>
      <c r="C93" s="9"/>
      <c r="D93" s="27" t="s">
        <v>156</v>
      </c>
      <c r="E93" s="178"/>
      <c r="F93" s="9"/>
      <c r="G93" s="9"/>
      <c r="H93" s="9"/>
      <c r="I93" s="9"/>
      <c r="J93" s="27" t="s">
        <v>156</v>
      </c>
      <c r="K93" s="9"/>
      <c r="L93" s="9"/>
      <c r="M93" s="9"/>
      <c r="N93" s="9"/>
      <c r="P93" s="28" t="s">
        <v>156</v>
      </c>
      <c r="Q93" s="18"/>
      <c r="R93" s="19"/>
      <c r="S93" s="18"/>
      <c r="T93" s="18"/>
      <c r="U93" s="29" t="s">
        <v>156</v>
      </c>
      <c r="V93" s="18"/>
      <c r="W93" s="18"/>
      <c r="AF93" s="30" t="s">
        <v>156</v>
      </c>
      <c r="AK93" s="31" t="s">
        <v>156</v>
      </c>
    </row>
    <row r="94" spans="2:37" s="14" customFormat="1" ht="10.5" hidden="1" customHeight="1" x14ac:dyDescent="0.2">
      <c r="B94" s="9"/>
      <c r="C94" s="9"/>
      <c r="D94" s="32" t="s">
        <v>156</v>
      </c>
      <c r="E94" s="179"/>
      <c r="F94" s="9"/>
      <c r="G94" s="9"/>
      <c r="H94" s="9"/>
      <c r="I94" s="9"/>
      <c r="J94" s="33" t="s">
        <v>156</v>
      </c>
      <c r="K94" s="9"/>
      <c r="L94" s="9"/>
      <c r="M94" s="9"/>
      <c r="N94" s="9"/>
      <c r="P94" s="34" t="s">
        <v>156</v>
      </c>
      <c r="Q94" s="18"/>
      <c r="R94" s="19"/>
      <c r="S94" s="18"/>
      <c r="T94" s="18"/>
      <c r="U94" s="35" t="s">
        <v>156</v>
      </c>
      <c r="V94" s="18"/>
      <c r="W94" s="18"/>
      <c r="AF94" s="35" t="s">
        <v>156</v>
      </c>
      <c r="AK94" s="36" t="s">
        <v>156</v>
      </c>
    </row>
    <row r="95" spans="2:37" s="14" customFormat="1" ht="10.5" hidden="1" customHeight="1" x14ac:dyDescent="0.2">
      <c r="B95" s="9"/>
      <c r="C95" s="9"/>
      <c r="D95" s="27" t="s">
        <v>156</v>
      </c>
      <c r="E95" s="178"/>
      <c r="F95" s="9"/>
      <c r="G95" s="9"/>
      <c r="H95" s="9"/>
      <c r="I95" s="9"/>
      <c r="J95" s="27" t="s">
        <v>156</v>
      </c>
      <c r="K95" s="9"/>
      <c r="L95" s="9"/>
      <c r="M95" s="9"/>
      <c r="N95" s="9"/>
      <c r="P95" s="28" t="s">
        <v>156</v>
      </c>
      <c r="Q95" s="18"/>
      <c r="R95" s="19"/>
      <c r="S95" s="18"/>
      <c r="T95" s="18"/>
      <c r="U95" s="29" t="s">
        <v>156</v>
      </c>
      <c r="V95" s="18"/>
      <c r="W95" s="18"/>
      <c r="AF95" s="30" t="s">
        <v>156</v>
      </c>
      <c r="AK95" s="31" t="s">
        <v>156</v>
      </c>
    </row>
    <row r="96" spans="2:37" s="14" customFormat="1" ht="10.5" hidden="1" customHeight="1" x14ac:dyDescent="0.2">
      <c r="B96" s="9"/>
      <c r="C96" s="9"/>
      <c r="D96" s="32" t="s">
        <v>156</v>
      </c>
      <c r="E96" s="179"/>
      <c r="F96" s="9"/>
      <c r="G96" s="9"/>
      <c r="H96" s="9"/>
      <c r="I96" s="9"/>
      <c r="J96" s="33" t="s">
        <v>156</v>
      </c>
      <c r="K96" s="9"/>
      <c r="L96" s="9"/>
      <c r="M96" s="9"/>
      <c r="N96" s="9"/>
      <c r="P96" s="34" t="s">
        <v>156</v>
      </c>
      <c r="Q96" s="18"/>
      <c r="R96" s="19"/>
      <c r="S96" s="18"/>
      <c r="T96" s="18"/>
      <c r="U96" s="35" t="s">
        <v>156</v>
      </c>
      <c r="V96" s="18"/>
      <c r="W96" s="18"/>
      <c r="AF96" s="35" t="s">
        <v>156</v>
      </c>
      <c r="AK96" s="36" t="s">
        <v>156</v>
      </c>
    </row>
    <row r="97" spans="2:37" s="14" customFormat="1" ht="10.5" hidden="1" customHeight="1" x14ac:dyDescent="0.2">
      <c r="B97" s="9"/>
      <c r="C97" s="9"/>
      <c r="D97" s="27" t="s">
        <v>156</v>
      </c>
      <c r="E97" s="178"/>
      <c r="F97" s="9"/>
      <c r="G97" s="9"/>
      <c r="H97" s="9"/>
      <c r="I97" s="9"/>
      <c r="J97" s="27" t="s">
        <v>156</v>
      </c>
      <c r="K97" s="9"/>
      <c r="L97" s="9"/>
      <c r="M97" s="9"/>
      <c r="N97" s="9"/>
      <c r="P97" s="28" t="s">
        <v>156</v>
      </c>
      <c r="Q97" s="18"/>
      <c r="R97" s="19"/>
      <c r="S97" s="18"/>
      <c r="T97" s="18"/>
      <c r="U97" s="29" t="s">
        <v>156</v>
      </c>
      <c r="V97" s="18"/>
      <c r="W97" s="18"/>
      <c r="AF97" s="30" t="s">
        <v>156</v>
      </c>
      <c r="AK97" s="31" t="s">
        <v>156</v>
      </c>
    </row>
    <row r="98" spans="2:37" s="14" customFormat="1" ht="10.5" hidden="1" customHeight="1" x14ac:dyDescent="0.2">
      <c r="B98" s="9"/>
      <c r="C98" s="9"/>
      <c r="D98" s="32" t="s">
        <v>156</v>
      </c>
      <c r="E98" s="179"/>
      <c r="F98" s="9"/>
      <c r="G98" s="9"/>
      <c r="H98" s="9"/>
      <c r="I98" s="9"/>
      <c r="J98" s="33" t="s">
        <v>156</v>
      </c>
      <c r="K98" s="9"/>
      <c r="L98" s="9"/>
      <c r="M98" s="9"/>
      <c r="N98" s="9"/>
      <c r="P98" s="34" t="s">
        <v>156</v>
      </c>
      <c r="Q98" s="18"/>
      <c r="R98" s="19"/>
      <c r="S98" s="18"/>
      <c r="T98" s="18"/>
      <c r="U98" s="35" t="s">
        <v>156</v>
      </c>
      <c r="V98" s="18"/>
      <c r="W98" s="18"/>
      <c r="AF98" s="35" t="s">
        <v>156</v>
      </c>
      <c r="AK98" s="36" t="s">
        <v>156</v>
      </c>
    </row>
    <row r="99" spans="2:37" s="14" customFormat="1" ht="10.5" hidden="1" customHeight="1" x14ac:dyDescent="0.2">
      <c r="B99" s="9"/>
      <c r="C99" s="9"/>
      <c r="D99" s="27" t="s">
        <v>156</v>
      </c>
      <c r="E99" s="178"/>
      <c r="F99" s="9"/>
      <c r="G99" s="9"/>
      <c r="H99" s="9"/>
      <c r="I99" s="9"/>
      <c r="J99" s="27" t="s">
        <v>156</v>
      </c>
      <c r="K99" s="9"/>
      <c r="L99" s="9"/>
      <c r="M99" s="9"/>
      <c r="N99" s="9"/>
      <c r="P99" s="28" t="s">
        <v>156</v>
      </c>
      <c r="Q99" s="18"/>
      <c r="R99" s="19"/>
      <c r="S99" s="18"/>
      <c r="T99" s="18"/>
      <c r="U99" s="29" t="s">
        <v>156</v>
      </c>
      <c r="V99" s="18"/>
      <c r="W99" s="18"/>
      <c r="AF99" s="30" t="s">
        <v>156</v>
      </c>
      <c r="AK99" s="31" t="s">
        <v>156</v>
      </c>
    </row>
    <row r="100" spans="2:37" s="14" customFormat="1" ht="10.5" hidden="1" customHeight="1" x14ac:dyDescent="0.2">
      <c r="B100" s="9"/>
      <c r="C100" s="9"/>
      <c r="D100" s="32" t="s">
        <v>156</v>
      </c>
      <c r="E100" s="179"/>
      <c r="F100" s="9"/>
      <c r="G100" s="9"/>
      <c r="H100" s="9"/>
      <c r="I100" s="9"/>
      <c r="J100" s="33" t="s">
        <v>156</v>
      </c>
      <c r="K100" s="9"/>
      <c r="L100" s="9"/>
      <c r="M100" s="9"/>
      <c r="N100" s="9"/>
      <c r="P100" s="34" t="s">
        <v>156</v>
      </c>
      <c r="Q100" s="18"/>
      <c r="R100" s="19"/>
      <c r="S100" s="18"/>
      <c r="T100" s="18"/>
      <c r="U100" s="35" t="s">
        <v>156</v>
      </c>
      <c r="V100" s="18"/>
      <c r="W100" s="18"/>
      <c r="AF100" s="35" t="s">
        <v>156</v>
      </c>
      <c r="AK100" s="36" t="s">
        <v>156</v>
      </c>
    </row>
    <row r="101" spans="2:37" s="14" customFormat="1" ht="10.5" hidden="1" customHeight="1" x14ac:dyDescent="0.2">
      <c r="B101" s="9"/>
      <c r="C101" s="9"/>
      <c r="D101" s="27" t="s">
        <v>156</v>
      </c>
      <c r="E101" s="178"/>
      <c r="F101" s="9"/>
      <c r="G101" s="9"/>
      <c r="H101" s="9"/>
      <c r="I101" s="9"/>
      <c r="J101" s="27" t="s">
        <v>156</v>
      </c>
      <c r="K101" s="9"/>
      <c r="L101" s="9"/>
      <c r="M101" s="9"/>
      <c r="N101" s="9"/>
      <c r="P101" s="28" t="s">
        <v>156</v>
      </c>
      <c r="Q101" s="18"/>
      <c r="R101" s="19"/>
      <c r="S101" s="18"/>
      <c r="T101" s="18"/>
      <c r="U101" s="29" t="s">
        <v>156</v>
      </c>
      <c r="V101" s="18"/>
      <c r="W101" s="18"/>
      <c r="AF101" s="30" t="s">
        <v>156</v>
      </c>
      <c r="AK101" s="31" t="s">
        <v>156</v>
      </c>
    </row>
    <row r="102" spans="2:37" s="14" customFormat="1" ht="10.5" hidden="1" customHeight="1" x14ac:dyDescent="0.2">
      <c r="B102" s="9"/>
      <c r="C102" s="9"/>
      <c r="D102" s="32" t="s">
        <v>156</v>
      </c>
      <c r="E102" s="179"/>
      <c r="F102" s="9"/>
      <c r="G102" s="9"/>
      <c r="H102" s="9"/>
      <c r="I102" s="9"/>
      <c r="J102" s="33" t="s">
        <v>156</v>
      </c>
      <c r="K102" s="9"/>
      <c r="L102" s="9"/>
      <c r="M102" s="9"/>
      <c r="N102" s="9"/>
      <c r="P102" s="34" t="s">
        <v>156</v>
      </c>
      <c r="Q102" s="18"/>
      <c r="R102" s="19"/>
      <c r="S102" s="18"/>
      <c r="T102" s="18"/>
      <c r="U102" s="35" t="s">
        <v>156</v>
      </c>
      <c r="V102" s="18"/>
      <c r="W102" s="18"/>
      <c r="AF102" s="35" t="s">
        <v>156</v>
      </c>
      <c r="AK102" s="36" t="s">
        <v>156</v>
      </c>
    </row>
    <row r="103" spans="2:37" s="14" customFormat="1" ht="10.5" hidden="1" customHeight="1" x14ac:dyDescent="0.2">
      <c r="B103" s="9"/>
      <c r="C103" s="9"/>
      <c r="D103" s="27" t="s">
        <v>156</v>
      </c>
      <c r="E103" s="178"/>
      <c r="F103" s="9"/>
      <c r="G103" s="9"/>
      <c r="H103" s="9"/>
      <c r="I103" s="9"/>
      <c r="J103" s="27" t="s">
        <v>156</v>
      </c>
      <c r="K103" s="9"/>
      <c r="L103" s="9"/>
      <c r="M103" s="9"/>
      <c r="N103" s="9"/>
      <c r="P103" s="28" t="s">
        <v>156</v>
      </c>
      <c r="Q103" s="18"/>
      <c r="R103" s="19"/>
      <c r="S103" s="18"/>
      <c r="T103" s="18"/>
      <c r="U103" s="29" t="s">
        <v>156</v>
      </c>
      <c r="V103" s="18"/>
      <c r="W103" s="18"/>
      <c r="AF103" s="30" t="s">
        <v>156</v>
      </c>
      <c r="AK103" s="31" t="s">
        <v>156</v>
      </c>
    </row>
    <row r="104" spans="2:37" s="14" customFormat="1" ht="10.5" hidden="1" customHeight="1" x14ac:dyDescent="0.2">
      <c r="B104" s="9"/>
      <c r="C104" s="9"/>
      <c r="D104" s="32" t="s">
        <v>156</v>
      </c>
      <c r="E104" s="179"/>
      <c r="F104" s="9"/>
      <c r="G104" s="9"/>
      <c r="H104" s="9"/>
      <c r="I104" s="9"/>
      <c r="J104" s="33" t="s">
        <v>156</v>
      </c>
      <c r="K104" s="9"/>
      <c r="L104" s="9"/>
      <c r="M104" s="9"/>
      <c r="N104" s="9"/>
      <c r="P104" s="34" t="s">
        <v>156</v>
      </c>
      <c r="Q104" s="18"/>
      <c r="R104" s="19"/>
      <c r="S104" s="18"/>
      <c r="T104" s="18"/>
      <c r="U104" s="35" t="s">
        <v>156</v>
      </c>
      <c r="V104" s="18"/>
      <c r="W104" s="18"/>
      <c r="AF104" s="35" t="s">
        <v>156</v>
      </c>
      <c r="AK104" s="36" t="s">
        <v>156</v>
      </c>
    </row>
    <row r="105" spans="2:37" s="14" customFormat="1" ht="10.5" hidden="1" customHeight="1" x14ac:dyDescent="0.2">
      <c r="B105" s="9"/>
      <c r="C105" s="9"/>
      <c r="D105" s="27" t="s">
        <v>156</v>
      </c>
      <c r="E105" s="178"/>
      <c r="F105" s="9"/>
      <c r="G105" s="9"/>
      <c r="H105" s="9"/>
      <c r="I105" s="9"/>
      <c r="J105" s="27" t="s">
        <v>156</v>
      </c>
      <c r="K105" s="9"/>
      <c r="L105" s="9"/>
      <c r="M105" s="9"/>
      <c r="N105" s="9"/>
      <c r="P105" s="28" t="s">
        <v>156</v>
      </c>
      <c r="Q105" s="18"/>
      <c r="R105" s="19"/>
      <c r="S105" s="18"/>
      <c r="T105" s="18"/>
      <c r="U105" s="29" t="s">
        <v>156</v>
      </c>
      <c r="V105" s="18"/>
      <c r="W105" s="18"/>
      <c r="AF105" s="30" t="s">
        <v>156</v>
      </c>
      <c r="AK105" s="31" t="s">
        <v>156</v>
      </c>
    </row>
    <row r="106" spans="2:37" s="14" customFormat="1" ht="10.5" hidden="1" customHeight="1" x14ac:dyDescent="0.2">
      <c r="B106" s="9"/>
      <c r="C106" s="9"/>
      <c r="D106" s="32" t="s">
        <v>156</v>
      </c>
      <c r="E106" s="179"/>
      <c r="F106" s="9"/>
      <c r="G106" s="9"/>
      <c r="H106" s="9"/>
      <c r="I106" s="9"/>
      <c r="J106" s="33" t="s">
        <v>156</v>
      </c>
      <c r="K106" s="9"/>
      <c r="L106" s="9"/>
      <c r="M106" s="9"/>
      <c r="N106" s="9"/>
      <c r="P106" s="34" t="s">
        <v>156</v>
      </c>
      <c r="Q106" s="18"/>
      <c r="R106" s="19"/>
      <c r="S106" s="18"/>
      <c r="T106" s="18"/>
      <c r="U106" s="35" t="s">
        <v>156</v>
      </c>
      <c r="V106" s="18"/>
      <c r="W106" s="18"/>
      <c r="AF106" s="35" t="s">
        <v>156</v>
      </c>
      <c r="AK106" s="36" t="s">
        <v>156</v>
      </c>
    </row>
    <row r="107" spans="2:37" s="38" customFormat="1" ht="10.5" hidden="1" customHeight="1" x14ac:dyDescent="0.2">
      <c r="B107" s="37"/>
      <c r="C107" s="37"/>
      <c r="D107" s="27" t="s">
        <v>156</v>
      </c>
      <c r="E107" s="178"/>
      <c r="F107" s="9"/>
      <c r="G107" s="9"/>
      <c r="H107" s="9"/>
      <c r="I107" s="9"/>
      <c r="J107" s="27" t="s">
        <v>156</v>
      </c>
      <c r="K107" s="9"/>
      <c r="L107" s="9"/>
      <c r="M107" s="9"/>
      <c r="N107" s="9"/>
      <c r="O107" s="14"/>
      <c r="P107" s="28" t="s">
        <v>156</v>
      </c>
      <c r="Q107" s="18"/>
      <c r="R107" s="19"/>
      <c r="S107" s="18"/>
      <c r="T107" s="18"/>
      <c r="U107" s="29" t="s">
        <v>156</v>
      </c>
      <c r="V107" s="18"/>
      <c r="W107" s="18"/>
      <c r="X107" s="14"/>
      <c r="Y107" s="14"/>
      <c r="Z107" s="14"/>
      <c r="AA107" s="14"/>
      <c r="AB107" s="14"/>
      <c r="AC107" s="14"/>
      <c r="AD107" s="14"/>
      <c r="AE107" s="14"/>
      <c r="AF107" s="30" t="s">
        <v>156</v>
      </c>
      <c r="AG107" s="14"/>
      <c r="AH107" s="14"/>
      <c r="AI107" s="14"/>
      <c r="AJ107" s="14"/>
      <c r="AK107" s="31" t="s">
        <v>156</v>
      </c>
    </row>
    <row r="108" spans="2:37" s="38" customFormat="1" ht="10.5" hidden="1" customHeight="1" x14ac:dyDescent="0.2">
      <c r="B108" s="37"/>
      <c r="C108" s="37"/>
      <c r="D108" s="32" t="s">
        <v>156</v>
      </c>
      <c r="E108" s="179"/>
      <c r="F108" s="9"/>
      <c r="G108" s="9"/>
      <c r="H108" s="9"/>
      <c r="I108" s="9"/>
      <c r="J108" s="33" t="s">
        <v>156</v>
      </c>
      <c r="K108" s="9"/>
      <c r="L108" s="9"/>
      <c r="M108" s="9"/>
      <c r="N108" s="9"/>
      <c r="O108" s="14"/>
      <c r="P108" s="34" t="s">
        <v>156</v>
      </c>
      <c r="Q108" s="18"/>
      <c r="R108" s="19"/>
      <c r="S108" s="18"/>
      <c r="T108" s="18"/>
      <c r="U108" s="35" t="s">
        <v>156</v>
      </c>
      <c r="V108" s="18"/>
      <c r="W108" s="18"/>
      <c r="X108" s="14"/>
      <c r="Y108" s="14"/>
      <c r="Z108" s="14"/>
      <c r="AA108" s="14"/>
      <c r="AB108" s="14"/>
      <c r="AC108" s="14"/>
      <c r="AD108" s="14"/>
      <c r="AE108" s="14"/>
      <c r="AF108" s="35" t="s">
        <v>156</v>
      </c>
      <c r="AG108" s="14"/>
      <c r="AH108" s="14"/>
      <c r="AI108" s="14"/>
      <c r="AJ108" s="14"/>
      <c r="AK108" s="36" t="s">
        <v>156</v>
      </c>
    </row>
    <row r="109" spans="2:37" s="38" customFormat="1" ht="10.5" hidden="1" customHeight="1" x14ac:dyDescent="0.2">
      <c r="B109" s="37"/>
      <c r="C109" s="37"/>
      <c r="D109" s="27" t="s">
        <v>156</v>
      </c>
      <c r="E109" s="178"/>
      <c r="F109" s="9"/>
      <c r="G109" s="9"/>
      <c r="H109" s="9"/>
      <c r="I109" s="9"/>
      <c r="J109" s="27" t="s">
        <v>156</v>
      </c>
      <c r="K109" s="9"/>
      <c r="L109" s="9"/>
      <c r="M109" s="9"/>
      <c r="N109" s="9"/>
      <c r="O109" s="14"/>
      <c r="P109" s="28" t="s">
        <v>156</v>
      </c>
      <c r="Q109" s="18"/>
      <c r="R109" s="19"/>
      <c r="S109" s="18"/>
      <c r="T109" s="18"/>
      <c r="U109" s="29" t="s">
        <v>156</v>
      </c>
      <c r="V109" s="18"/>
      <c r="W109" s="18"/>
      <c r="X109" s="14"/>
      <c r="Y109" s="14"/>
      <c r="Z109" s="14"/>
      <c r="AA109" s="14"/>
      <c r="AB109" s="14"/>
      <c r="AC109" s="14"/>
      <c r="AD109" s="14"/>
      <c r="AE109" s="14"/>
      <c r="AF109" s="30" t="s">
        <v>156</v>
      </c>
      <c r="AG109" s="14"/>
      <c r="AH109" s="14"/>
      <c r="AI109" s="14"/>
      <c r="AJ109" s="14"/>
      <c r="AK109" s="31" t="s">
        <v>156</v>
      </c>
    </row>
    <row r="110" spans="2:37" s="38" customFormat="1" ht="10.5" hidden="1" customHeight="1" x14ac:dyDescent="0.2">
      <c r="B110" s="37"/>
      <c r="C110" s="37"/>
      <c r="D110" s="32" t="s">
        <v>156</v>
      </c>
      <c r="E110" s="179"/>
      <c r="F110" s="9"/>
      <c r="G110" s="9"/>
      <c r="H110" s="9"/>
      <c r="I110" s="9"/>
      <c r="J110" s="33" t="s">
        <v>156</v>
      </c>
      <c r="K110" s="9"/>
      <c r="L110" s="9"/>
      <c r="M110" s="9"/>
      <c r="N110" s="9"/>
      <c r="O110" s="14"/>
      <c r="P110" s="34" t="s">
        <v>156</v>
      </c>
      <c r="Q110" s="18"/>
      <c r="R110" s="19"/>
      <c r="S110" s="18"/>
      <c r="T110" s="18"/>
      <c r="U110" s="35" t="s">
        <v>156</v>
      </c>
      <c r="V110" s="18"/>
      <c r="W110" s="18"/>
      <c r="X110" s="14"/>
      <c r="Y110" s="14"/>
      <c r="Z110" s="14"/>
      <c r="AA110" s="14"/>
      <c r="AB110" s="14"/>
      <c r="AC110" s="14"/>
      <c r="AD110" s="14"/>
      <c r="AE110" s="14"/>
      <c r="AF110" s="35" t="s">
        <v>156</v>
      </c>
      <c r="AG110" s="14"/>
      <c r="AH110" s="14"/>
      <c r="AI110" s="14"/>
      <c r="AJ110" s="14"/>
      <c r="AK110" s="36" t="s">
        <v>156</v>
      </c>
    </row>
    <row r="111" spans="2:37" s="38" customFormat="1" ht="10.5" hidden="1" customHeight="1" x14ac:dyDescent="0.2">
      <c r="B111" s="37"/>
      <c r="C111" s="37"/>
      <c r="D111" s="27" t="s">
        <v>156</v>
      </c>
      <c r="E111" s="178"/>
      <c r="F111" s="9"/>
      <c r="G111" s="9"/>
      <c r="H111" s="9"/>
      <c r="I111" s="9"/>
      <c r="J111" s="27" t="s">
        <v>156</v>
      </c>
      <c r="K111" s="9"/>
      <c r="L111" s="9"/>
      <c r="M111" s="9"/>
      <c r="N111" s="9"/>
      <c r="O111" s="14"/>
      <c r="P111" s="28" t="s">
        <v>156</v>
      </c>
      <c r="Q111" s="18"/>
      <c r="R111" s="19"/>
      <c r="S111" s="18"/>
      <c r="T111" s="18"/>
      <c r="U111" s="29" t="s">
        <v>156</v>
      </c>
      <c r="V111" s="18"/>
      <c r="W111" s="18"/>
      <c r="X111" s="14"/>
      <c r="Y111" s="14"/>
      <c r="Z111" s="14"/>
      <c r="AA111" s="14"/>
      <c r="AB111" s="14"/>
      <c r="AC111" s="14"/>
      <c r="AD111" s="14"/>
      <c r="AE111" s="14"/>
      <c r="AF111" s="30" t="s">
        <v>156</v>
      </c>
      <c r="AG111" s="14"/>
      <c r="AH111" s="14"/>
      <c r="AI111" s="14"/>
      <c r="AJ111" s="14"/>
      <c r="AK111" s="31" t="s">
        <v>156</v>
      </c>
    </row>
    <row r="112" spans="2:37" s="38" customFormat="1" ht="10.5" hidden="1" customHeight="1" x14ac:dyDescent="0.2">
      <c r="B112" s="37"/>
      <c r="C112" s="37"/>
      <c r="D112" s="32" t="s">
        <v>156</v>
      </c>
      <c r="E112" s="179"/>
      <c r="F112" s="9"/>
      <c r="G112" s="9"/>
      <c r="H112" s="9"/>
      <c r="I112" s="9"/>
      <c r="J112" s="33" t="s">
        <v>156</v>
      </c>
      <c r="K112" s="9"/>
      <c r="L112" s="9"/>
      <c r="M112" s="9"/>
      <c r="N112" s="9"/>
      <c r="O112" s="14"/>
      <c r="P112" s="34" t="s">
        <v>156</v>
      </c>
      <c r="Q112" s="18"/>
      <c r="R112" s="19"/>
      <c r="S112" s="18"/>
      <c r="T112" s="18"/>
      <c r="U112" s="35" t="s">
        <v>156</v>
      </c>
      <c r="V112" s="18"/>
      <c r="W112" s="18"/>
      <c r="X112" s="14"/>
      <c r="Y112" s="14"/>
      <c r="Z112" s="14"/>
      <c r="AA112" s="14"/>
      <c r="AB112" s="14"/>
      <c r="AC112" s="14"/>
      <c r="AD112" s="14"/>
      <c r="AE112" s="14"/>
      <c r="AF112" s="35" t="s">
        <v>156</v>
      </c>
      <c r="AG112" s="14"/>
      <c r="AH112" s="14"/>
      <c r="AI112" s="14"/>
      <c r="AJ112" s="14"/>
      <c r="AK112" s="36" t="s">
        <v>156</v>
      </c>
    </row>
    <row r="113" spans="2:37" s="38" customFormat="1" ht="10.5" hidden="1" customHeight="1" x14ac:dyDescent="0.2">
      <c r="B113" s="37"/>
      <c r="C113" s="37"/>
      <c r="D113" s="27" t="s">
        <v>156</v>
      </c>
      <c r="E113" s="178"/>
      <c r="F113" s="9"/>
      <c r="G113" s="9"/>
      <c r="H113" s="9"/>
      <c r="I113" s="9"/>
      <c r="J113" s="27" t="s">
        <v>156</v>
      </c>
      <c r="K113" s="9"/>
      <c r="L113" s="9"/>
      <c r="M113" s="9"/>
      <c r="N113" s="9"/>
      <c r="O113" s="14"/>
      <c r="P113" s="28" t="s">
        <v>156</v>
      </c>
      <c r="Q113" s="18"/>
      <c r="R113" s="19"/>
      <c r="S113" s="18"/>
      <c r="T113" s="18"/>
      <c r="U113" s="29" t="s">
        <v>156</v>
      </c>
      <c r="V113" s="18"/>
      <c r="W113" s="18"/>
      <c r="X113" s="14"/>
      <c r="Y113" s="14"/>
      <c r="Z113" s="14"/>
      <c r="AA113" s="14"/>
      <c r="AB113" s="14"/>
      <c r="AC113" s="14"/>
      <c r="AD113" s="14"/>
      <c r="AE113" s="14"/>
      <c r="AF113" s="30" t="s">
        <v>156</v>
      </c>
      <c r="AG113" s="14"/>
      <c r="AH113" s="14"/>
      <c r="AI113" s="14"/>
      <c r="AJ113" s="14"/>
      <c r="AK113" s="31" t="s">
        <v>156</v>
      </c>
    </row>
    <row r="114" spans="2:37" s="38" customFormat="1" ht="10.5" hidden="1" customHeight="1" x14ac:dyDescent="0.2">
      <c r="B114" s="37"/>
      <c r="C114" s="37"/>
      <c r="D114" s="32" t="s">
        <v>156</v>
      </c>
      <c r="E114" s="179"/>
      <c r="F114" s="9"/>
      <c r="G114" s="9"/>
      <c r="H114" s="9"/>
      <c r="I114" s="9"/>
      <c r="J114" s="33" t="s">
        <v>156</v>
      </c>
      <c r="K114" s="9"/>
      <c r="L114" s="9"/>
      <c r="M114" s="9"/>
      <c r="N114" s="9"/>
      <c r="O114" s="14"/>
      <c r="P114" s="34" t="s">
        <v>156</v>
      </c>
      <c r="Q114" s="18"/>
      <c r="R114" s="19"/>
      <c r="S114" s="18"/>
      <c r="T114" s="18"/>
      <c r="U114" s="35" t="s">
        <v>156</v>
      </c>
      <c r="V114" s="18"/>
      <c r="W114" s="18"/>
      <c r="X114" s="14"/>
      <c r="Y114" s="14"/>
      <c r="Z114" s="14"/>
      <c r="AA114" s="14"/>
      <c r="AB114" s="14"/>
      <c r="AC114" s="14"/>
      <c r="AD114" s="14"/>
      <c r="AE114" s="14"/>
      <c r="AF114" s="35" t="s">
        <v>156</v>
      </c>
      <c r="AG114" s="14"/>
      <c r="AH114" s="14"/>
      <c r="AI114" s="14"/>
      <c r="AJ114" s="14"/>
      <c r="AK114" s="36" t="s">
        <v>156</v>
      </c>
    </row>
    <row r="115" spans="2:37" s="38" customFormat="1" ht="10.5" hidden="1" customHeight="1" x14ac:dyDescent="0.2">
      <c r="B115" s="37"/>
      <c r="C115" s="37"/>
      <c r="D115" s="27" t="s">
        <v>156</v>
      </c>
      <c r="E115" s="178"/>
      <c r="F115" s="9"/>
      <c r="G115" s="9"/>
      <c r="H115" s="9"/>
      <c r="I115" s="9"/>
      <c r="J115" s="27" t="s">
        <v>156</v>
      </c>
      <c r="K115" s="9"/>
      <c r="L115" s="9"/>
      <c r="M115" s="9"/>
      <c r="N115" s="9"/>
      <c r="O115" s="14"/>
      <c r="P115" s="28" t="s">
        <v>156</v>
      </c>
      <c r="Q115" s="18"/>
      <c r="R115" s="19"/>
      <c r="S115" s="18"/>
      <c r="T115" s="18"/>
      <c r="U115" s="29" t="s">
        <v>156</v>
      </c>
      <c r="V115" s="18"/>
      <c r="W115" s="18"/>
      <c r="X115" s="14"/>
      <c r="Y115" s="14"/>
      <c r="Z115" s="14"/>
      <c r="AA115" s="14"/>
      <c r="AB115" s="14"/>
      <c r="AC115" s="14"/>
      <c r="AD115" s="14"/>
      <c r="AE115" s="14"/>
      <c r="AF115" s="30" t="s">
        <v>156</v>
      </c>
      <c r="AG115" s="14"/>
      <c r="AH115" s="14"/>
      <c r="AI115" s="14"/>
      <c r="AJ115" s="14"/>
      <c r="AK115" s="31" t="s">
        <v>156</v>
      </c>
    </row>
    <row r="116" spans="2:37" s="38" customFormat="1" ht="10.5" hidden="1" customHeight="1" x14ac:dyDescent="0.2">
      <c r="B116" s="37"/>
      <c r="C116" s="37"/>
      <c r="D116" s="32" t="s">
        <v>156</v>
      </c>
      <c r="E116" s="179"/>
      <c r="F116" s="9"/>
      <c r="G116" s="9"/>
      <c r="H116" s="9"/>
      <c r="I116" s="9"/>
      <c r="J116" s="33" t="s">
        <v>156</v>
      </c>
      <c r="K116" s="9"/>
      <c r="L116" s="9"/>
      <c r="M116" s="9"/>
      <c r="N116" s="9"/>
      <c r="O116" s="14"/>
      <c r="P116" s="34" t="s">
        <v>156</v>
      </c>
      <c r="Q116" s="18"/>
      <c r="R116" s="19"/>
      <c r="S116" s="18"/>
      <c r="T116" s="18"/>
      <c r="U116" s="35" t="s">
        <v>156</v>
      </c>
      <c r="V116" s="18"/>
      <c r="W116" s="18"/>
      <c r="X116" s="14"/>
      <c r="Y116" s="14"/>
      <c r="Z116" s="14"/>
      <c r="AA116" s="14"/>
      <c r="AB116" s="14"/>
      <c r="AC116" s="14"/>
      <c r="AD116" s="14"/>
      <c r="AE116" s="14"/>
      <c r="AF116" s="35" t="s">
        <v>156</v>
      </c>
      <c r="AG116" s="14"/>
      <c r="AH116" s="14"/>
      <c r="AI116" s="14"/>
      <c r="AJ116" s="14"/>
      <c r="AK116" s="36" t="s">
        <v>156</v>
      </c>
    </row>
    <row r="117" spans="2:37" s="38" customFormat="1" ht="10.5" hidden="1" customHeight="1" x14ac:dyDescent="0.2">
      <c r="B117" s="37"/>
      <c r="C117" s="37"/>
      <c r="D117" s="27" t="s">
        <v>156</v>
      </c>
      <c r="E117" s="178"/>
      <c r="F117" s="9"/>
      <c r="G117" s="9"/>
      <c r="H117" s="9"/>
      <c r="I117" s="9"/>
      <c r="J117" s="27" t="s">
        <v>156</v>
      </c>
      <c r="K117" s="9"/>
      <c r="L117" s="9"/>
      <c r="M117" s="9"/>
      <c r="N117" s="9"/>
      <c r="O117" s="14"/>
      <c r="P117" s="28" t="s">
        <v>156</v>
      </c>
      <c r="Q117" s="18"/>
      <c r="R117" s="19"/>
      <c r="S117" s="18"/>
      <c r="T117" s="18"/>
      <c r="U117" s="29" t="s">
        <v>156</v>
      </c>
      <c r="V117" s="18"/>
      <c r="W117" s="18"/>
      <c r="X117" s="14"/>
      <c r="Y117" s="14"/>
      <c r="Z117" s="14"/>
      <c r="AA117" s="14"/>
      <c r="AB117" s="14"/>
      <c r="AC117" s="14"/>
      <c r="AD117" s="14"/>
      <c r="AE117" s="14"/>
      <c r="AF117" s="30" t="s">
        <v>156</v>
      </c>
      <c r="AG117" s="14"/>
      <c r="AH117" s="14"/>
      <c r="AI117" s="14"/>
      <c r="AJ117" s="14"/>
      <c r="AK117" s="31" t="s">
        <v>156</v>
      </c>
    </row>
    <row r="118" spans="2:37" s="38" customFormat="1" ht="10.5" hidden="1" customHeight="1" x14ac:dyDescent="0.2">
      <c r="B118" s="37"/>
      <c r="C118" s="37"/>
      <c r="D118" s="32" t="s">
        <v>156</v>
      </c>
      <c r="E118" s="179"/>
      <c r="F118" s="9"/>
      <c r="G118" s="9"/>
      <c r="H118" s="9"/>
      <c r="I118" s="9"/>
      <c r="J118" s="33" t="s">
        <v>156</v>
      </c>
      <c r="K118" s="9"/>
      <c r="L118" s="9"/>
      <c r="M118" s="9"/>
      <c r="N118" s="9"/>
      <c r="O118" s="14"/>
      <c r="P118" s="34" t="s">
        <v>156</v>
      </c>
      <c r="Q118" s="18"/>
      <c r="R118" s="19"/>
      <c r="S118" s="18"/>
      <c r="T118" s="18"/>
      <c r="U118" s="35" t="s">
        <v>156</v>
      </c>
      <c r="V118" s="18"/>
      <c r="W118" s="18"/>
      <c r="X118" s="14"/>
      <c r="Y118" s="14"/>
      <c r="Z118" s="14"/>
      <c r="AA118" s="14"/>
      <c r="AB118" s="14"/>
      <c r="AC118" s="14"/>
      <c r="AD118" s="14"/>
      <c r="AE118" s="14"/>
      <c r="AF118" s="35" t="s">
        <v>156</v>
      </c>
      <c r="AG118" s="14"/>
      <c r="AH118" s="14"/>
      <c r="AI118" s="14"/>
      <c r="AJ118" s="14"/>
      <c r="AK118" s="36" t="s">
        <v>156</v>
      </c>
    </row>
    <row r="119" spans="2:37" s="38" customFormat="1" ht="10.5" hidden="1" customHeight="1" x14ac:dyDescent="0.2">
      <c r="B119" s="37"/>
      <c r="C119" s="37"/>
      <c r="D119" s="27" t="s">
        <v>156</v>
      </c>
      <c r="E119" s="178"/>
      <c r="F119" s="9"/>
      <c r="G119" s="9"/>
      <c r="H119" s="9"/>
      <c r="I119" s="9"/>
      <c r="J119" s="27" t="s">
        <v>156</v>
      </c>
      <c r="K119" s="9"/>
      <c r="L119" s="9"/>
      <c r="M119" s="9"/>
      <c r="N119" s="9"/>
      <c r="O119" s="14"/>
      <c r="P119" s="28" t="s">
        <v>156</v>
      </c>
      <c r="Q119" s="18"/>
      <c r="R119" s="19"/>
      <c r="S119" s="18"/>
      <c r="T119" s="18"/>
      <c r="U119" s="29" t="s">
        <v>156</v>
      </c>
      <c r="V119" s="18"/>
      <c r="W119" s="18"/>
      <c r="X119" s="14"/>
      <c r="Y119" s="14"/>
      <c r="Z119" s="14"/>
      <c r="AA119" s="14"/>
      <c r="AB119" s="14"/>
      <c r="AC119" s="14"/>
      <c r="AD119" s="14"/>
      <c r="AE119" s="14"/>
      <c r="AF119" s="30" t="s">
        <v>156</v>
      </c>
      <c r="AG119" s="14"/>
      <c r="AH119" s="14"/>
      <c r="AI119" s="14"/>
      <c r="AJ119" s="14"/>
      <c r="AK119" s="31" t="s">
        <v>156</v>
      </c>
    </row>
    <row r="120" spans="2:37" s="38" customFormat="1" ht="10.5" hidden="1" customHeight="1" x14ac:dyDescent="0.2">
      <c r="B120" s="37"/>
      <c r="C120" s="37"/>
      <c r="D120" s="32" t="s">
        <v>156</v>
      </c>
      <c r="E120" s="179"/>
      <c r="F120" s="9"/>
      <c r="G120" s="9"/>
      <c r="H120" s="9"/>
      <c r="I120" s="9"/>
      <c r="J120" s="33" t="s">
        <v>156</v>
      </c>
      <c r="K120" s="9"/>
      <c r="L120" s="9"/>
      <c r="M120" s="9"/>
      <c r="N120" s="9"/>
      <c r="O120" s="14"/>
      <c r="P120" s="34" t="s">
        <v>156</v>
      </c>
      <c r="Q120" s="18"/>
      <c r="R120" s="19"/>
      <c r="S120" s="18"/>
      <c r="T120" s="18"/>
      <c r="U120" s="35" t="s">
        <v>156</v>
      </c>
      <c r="V120" s="18"/>
      <c r="W120" s="18"/>
      <c r="X120" s="14"/>
      <c r="Y120" s="14"/>
      <c r="Z120" s="14"/>
      <c r="AA120" s="14"/>
      <c r="AB120" s="14"/>
      <c r="AC120" s="14"/>
      <c r="AD120" s="14"/>
      <c r="AE120" s="14"/>
      <c r="AF120" s="35" t="s">
        <v>156</v>
      </c>
      <c r="AG120" s="14"/>
      <c r="AH120" s="14"/>
      <c r="AI120" s="14"/>
      <c r="AJ120" s="14"/>
      <c r="AK120" s="36" t="s">
        <v>156</v>
      </c>
    </row>
    <row r="121" spans="2:37" s="38" customFormat="1" ht="10.5" hidden="1" customHeight="1" x14ac:dyDescent="0.2">
      <c r="B121" s="37"/>
      <c r="C121" s="37"/>
      <c r="D121" s="27" t="s">
        <v>156</v>
      </c>
      <c r="E121" s="178"/>
      <c r="F121" s="9"/>
      <c r="G121" s="9"/>
      <c r="H121" s="9"/>
      <c r="I121" s="9"/>
      <c r="J121" s="27" t="s">
        <v>156</v>
      </c>
      <c r="K121" s="9"/>
      <c r="L121" s="9"/>
      <c r="M121" s="9"/>
      <c r="N121" s="9"/>
      <c r="O121" s="14"/>
      <c r="P121" s="28" t="s">
        <v>156</v>
      </c>
      <c r="Q121" s="18"/>
      <c r="R121" s="19"/>
      <c r="S121" s="18"/>
      <c r="T121" s="18"/>
      <c r="U121" s="29" t="s">
        <v>156</v>
      </c>
      <c r="V121" s="18"/>
      <c r="W121" s="18"/>
      <c r="X121" s="14"/>
      <c r="Y121" s="14"/>
      <c r="Z121" s="14"/>
      <c r="AA121" s="14"/>
      <c r="AB121" s="14"/>
      <c r="AC121" s="14"/>
      <c r="AD121" s="14"/>
      <c r="AE121" s="14"/>
      <c r="AF121" s="30" t="s">
        <v>156</v>
      </c>
      <c r="AG121" s="14"/>
      <c r="AH121" s="14"/>
      <c r="AI121" s="14"/>
      <c r="AJ121" s="14"/>
      <c r="AK121" s="31" t="s">
        <v>156</v>
      </c>
    </row>
    <row r="122" spans="2:37" s="38" customFormat="1" ht="10.5" hidden="1" customHeight="1" x14ac:dyDescent="0.2">
      <c r="B122" s="37"/>
      <c r="C122" s="37"/>
      <c r="D122" s="32" t="s">
        <v>156</v>
      </c>
      <c r="E122" s="179"/>
      <c r="F122" s="9"/>
      <c r="G122" s="9"/>
      <c r="H122" s="9"/>
      <c r="I122" s="9"/>
      <c r="J122" s="33" t="s">
        <v>156</v>
      </c>
      <c r="K122" s="9"/>
      <c r="L122" s="9"/>
      <c r="M122" s="9"/>
      <c r="N122" s="9"/>
      <c r="O122" s="14"/>
      <c r="P122" s="34" t="s">
        <v>156</v>
      </c>
      <c r="Q122" s="18"/>
      <c r="R122" s="19"/>
      <c r="S122" s="18"/>
      <c r="T122" s="18"/>
      <c r="U122" s="35" t="s">
        <v>156</v>
      </c>
      <c r="V122" s="18"/>
      <c r="W122" s="18"/>
      <c r="X122" s="14"/>
      <c r="Y122" s="14"/>
      <c r="Z122" s="14"/>
      <c r="AA122" s="14"/>
      <c r="AB122" s="14"/>
      <c r="AC122" s="14"/>
      <c r="AD122" s="14"/>
      <c r="AE122" s="14"/>
      <c r="AF122" s="35" t="s">
        <v>156</v>
      </c>
      <c r="AG122" s="14"/>
      <c r="AH122" s="14"/>
      <c r="AI122" s="14"/>
      <c r="AJ122" s="14"/>
      <c r="AK122" s="36" t="s">
        <v>156</v>
      </c>
    </row>
    <row r="123" spans="2:37" s="38" customFormat="1" ht="10.5" hidden="1" customHeight="1" x14ac:dyDescent="0.2">
      <c r="B123" s="37"/>
      <c r="C123" s="37"/>
      <c r="D123" s="27" t="s">
        <v>156</v>
      </c>
      <c r="E123" s="178"/>
      <c r="F123" s="9"/>
      <c r="G123" s="9"/>
      <c r="H123" s="9"/>
      <c r="I123" s="9"/>
      <c r="J123" s="27" t="s">
        <v>156</v>
      </c>
      <c r="K123" s="9"/>
      <c r="L123" s="9"/>
      <c r="M123" s="9"/>
      <c r="N123" s="9"/>
      <c r="O123" s="14"/>
      <c r="P123" s="28" t="s">
        <v>156</v>
      </c>
      <c r="Q123" s="18"/>
      <c r="R123" s="19"/>
      <c r="S123" s="18"/>
      <c r="T123" s="18"/>
      <c r="U123" s="29" t="s">
        <v>156</v>
      </c>
      <c r="V123" s="18"/>
      <c r="W123" s="18"/>
      <c r="X123" s="14"/>
      <c r="Y123" s="14"/>
      <c r="Z123" s="14"/>
      <c r="AA123" s="14"/>
      <c r="AB123" s="14"/>
      <c r="AC123" s="14"/>
      <c r="AD123" s="14"/>
      <c r="AE123" s="14"/>
      <c r="AF123" s="30" t="s">
        <v>156</v>
      </c>
      <c r="AG123" s="14"/>
      <c r="AH123" s="14"/>
      <c r="AI123" s="14"/>
      <c r="AJ123" s="14"/>
      <c r="AK123" s="31" t="s">
        <v>156</v>
      </c>
    </row>
    <row r="124" spans="2:37" s="38" customFormat="1" ht="10.5" hidden="1" customHeight="1" x14ac:dyDescent="0.2">
      <c r="B124" s="37"/>
      <c r="C124" s="37"/>
      <c r="D124" s="32" t="s">
        <v>156</v>
      </c>
      <c r="E124" s="179"/>
      <c r="F124" s="9"/>
      <c r="G124" s="9"/>
      <c r="H124" s="9"/>
      <c r="I124" s="9"/>
      <c r="J124" s="33" t="s">
        <v>156</v>
      </c>
      <c r="K124" s="9"/>
      <c r="L124" s="9"/>
      <c r="M124" s="9"/>
      <c r="N124" s="9"/>
      <c r="O124" s="14"/>
      <c r="P124" s="34" t="s">
        <v>156</v>
      </c>
      <c r="Q124" s="18"/>
      <c r="R124" s="19"/>
      <c r="S124" s="18"/>
      <c r="T124" s="18"/>
      <c r="U124" s="35" t="s">
        <v>156</v>
      </c>
      <c r="V124" s="18"/>
      <c r="W124" s="18"/>
      <c r="X124" s="14"/>
      <c r="Y124" s="14"/>
      <c r="Z124" s="14"/>
      <c r="AA124" s="14"/>
      <c r="AB124" s="14"/>
      <c r="AC124" s="14"/>
      <c r="AD124" s="14"/>
      <c r="AE124" s="14"/>
      <c r="AF124" s="35" t="s">
        <v>156</v>
      </c>
      <c r="AG124" s="14"/>
      <c r="AH124" s="14"/>
      <c r="AI124" s="14"/>
      <c r="AJ124" s="14"/>
      <c r="AK124" s="36" t="s">
        <v>156</v>
      </c>
    </row>
    <row r="125" spans="2:37" s="38" customFormat="1" ht="10.5" hidden="1" customHeight="1" x14ac:dyDescent="0.2">
      <c r="B125" s="37"/>
      <c r="C125" s="37"/>
      <c r="D125" s="27" t="s">
        <v>156</v>
      </c>
      <c r="E125" s="178"/>
      <c r="F125" s="9"/>
      <c r="G125" s="9"/>
      <c r="H125" s="9"/>
      <c r="I125" s="9"/>
      <c r="J125" s="27" t="s">
        <v>156</v>
      </c>
      <c r="K125" s="9"/>
      <c r="L125" s="9"/>
      <c r="M125" s="9"/>
      <c r="N125" s="9"/>
      <c r="O125" s="14"/>
      <c r="P125" s="28" t="s">
        <v>156</v>
      </c>
      <c r="Q125" s="18"/>
      <c r="R125" s="19"/>
      <c r="S125" s="18"/>
      <c r="T125" s="18"/>
      <c r="U125" s="29" t="s">
        <v>156</v>
      </c>
      <c r="V125" s="18"/>
      <c r="W125" s="18"/>
      <c r="X125" s="14"/>
      <c r="Y125" s="14"/>
      <c r="Z125" s="14"/>
      <c r="AA125" s="14"/>
      <c r="AB125" s="14"/>
      <c r="AC125" s="14"/>
      <c r="AD125" s="14"/>
      <c r="AE125" s="14"/>
      <c r="AF125" s="30" t="s">
        <v>156</v>
      </c>
      <c r="AG125" s="14"/>
      <c r="AH125" s="14"/>
      <c r="AI125" s="14"/>
      <c r="AJ125" s="14"/>
      <c r="AK125" s="31" t="s">
        <v>156</v>
      </c>
    </row>
    <row r="126" spans="2:37" s="38" customFormat="1" ht="10.5" hidden="1" customHeight="1" x14ac:dyDescent="0.2">
      <c r="B126" s="37"/>
      <c r="C126" s="37"/>
      <c r="D126" s="32" t="s">
        <v>156</v>
      </c>
      <c r="E126" s="179"/>
      <c r="F126" s="9"/>
      <c r="G126" s="9"/>
      <c r="H126" s="9"/>
      <c r="I126" s="9"/>
      <c r="J126" s="33" t="s">
        <v>156</v>
      </c>
      <c r="K126" s="9"/>
      <c r="L126" s="9"/>
      <c r="M126" s="9"/>
      <c r="N126" s="9"/>
      <c r="O126" s="14"/>
      <c r="P126" s="34" t="s">
        <v>156</v>
      </c>
      <c r="Q126" s="18"/>
      <c r="R126" s="19"/>
      <c r="S126" s="18"/>
      <c r="T126" s="18"/>
      <c r="U126" s="35" t="s">
        <v>156</v>
      </c>
      <c r="V126" s="18"/>
      <c r="W126" s="18"/>
      <c r="X126" s="14"/>
      <c r="Y126" s="14"/>
      <c r="Z126" s="14"/>
      <c r="AA126" s="14"/>
      <c r="AB126" s="14"/>
      <c r="AC126" s="14"/>
      <c r="AD126" s="14"/>
      <c r="AE126" s="14"/>
      <c r="AF126" s="35" t="s">
        <v>156</v>
      </c>
      <c r="AG126" s="14"/>
      <c r="AH126" s="14"/>
      <c r="AI126" s="14"/>
      <c r="AJ126" s="14"/>
      <c r="AK126" s="36" t="s">
        <v>156</v>
      </c>
    </row>
    <row r="127" spans="2:37" s="38" customFormat="1" ht="10.5" hidden="1" customHeight="1" x14ac:dyDescent="0.2">
      <c r="B127" s="37"/>
      <c r="C127" s="37"/>
      <c r="D127" s="27" t="s">
        <v>156</v>
      </c>
      <c r="E127" s="178"/>
      <c r="F127" s="9"/>
      <c r="G127" s="9"/>
      <c r="H127" s="9"/>
      <c r="I127" s="9"/>
      <c r="J127" s="27" t="s">
        <v>156</v>
      </c>
      <c r="K127" s="9"/>
      <c r="L127" s="9"/>
      <c r="M127" s="9"/>
      <c r="N127" s="9"/>
      <c r="O127" s="14"/>
      <c r="P127" s="28" t="s">
        <v>156</v>
      </c>
      <c r="Q127" s="18"/>
      <c r="R127" s="19"/>
      <c r="S127" s="18"/>
      <c r="T127" s="18"/>
      <c r="U127" s="29" t="s">
        <v>156</v>
      </c>
      <c r="V127" s="18"/>
      <c r="W127" s="18"/>
      <c r="X127" s="14"/>
      <c r="Y127" s="14"/>
      <c r="Z127" s="14"/>
      <c r="AA127" s="14"/>
      <c r="AB127" s="14"/>
      <c r="AC127" s="14"/>
      <c r="AD127" s="14"/>
      <c r="AE127" s="14"/>
      <c r="AF127" s="30" t="s">
        <v>156</v>
      </c>
      <c r="AG127" s="14"/>
      <c r="AH127" s="14"/>
      <c r="AI127" s="14"/>
      <c r="AJ127" s="14"/>
      <c r="AK127" s="31" t="s">
        <v>156</v>
      </c>
    </row>
    <row r="128" spans="2:37" s="38" customFormat="1" ht="10.5" hidden="1" customHeight="1" x14ac:dyDescent="0.2">
      <c r="B128" s="37"/>
      <c r="C128" s="37"/>
      <c r="D128" s="32" t="s">
        <v>156</v>
      </c>
      <c r="E128" s="179"/>
      <c r="F128" s="9"/>
      <c r="G128" s="9"/>
      <c r="H128" s="9"/>
      <c r="I128" s="9"/>
      <c r="J128" s="33" t="s">
        <v>156</v>
      </c>
      <c r="K128" s="9"/>
      <c r="L128" s="9"/>
      <c r="M128" s="9"/>
      <c r="N128" s="9"/>
      <c r="O128" s="14"/>
      <c r="P128" s="34" t="s">
        <v>156</v>
      </c>
      <c r="Q128" s="18"/>
      <c r="R128" s="19"/>
      <c r="S128" s="18"/>
      <c r="T128" s="18"/>
      <c r="U128" s="35" t="s">
        <v>156</v>
      </c>
      <c r="V128" s="18"/>
      <c r="W128" s="18"/>
      <c r="X128" s="14"/>
      <c r="Y128" s="14"/>
      <c r="Z128" s="14"/>
      <c r="AA128" s="14"/>
      <c r="AB128" s="14"/>
      <c r="AC128" s="14"/>
      <c r="AD128" s="14"/>
      <c r="AE128" s="14"/>
      <c r="AF128" s="35" t="s">
        <v>156</v>
      </c>
      <c r="AG128" s="14"/>
      <c r="AH128" s="14"/>
      <c r="AI128" s="14"/>
      <c r="AJ128" s="14"/>
      <c r="AK128" s="36" t="s">
        <v>156</v>
      </c>
    </row>
    <row r="129" spans="2:37" s="38" customFormat="1" ht="10.5" hidden="1" customHeight="1" x14ac:dyDescent="0.2">
      <c r="B129" s="37"/>
      <c r="C129" s="37"/>
      <c r="D129" s="27" t="s">
        <v>156</v>
      </c>
      <c r="E129" s="178"/>
      <c r="F129" s="9"/>
      <c r="G129" s="9"/>
      <c r="H129" s="9"/>
      <c r="I129" s="9"/>
      <c r="J129" s="27" t="s">
        <v>156</v>
      </c>
      <c r="K129" s="9"/>
      <c r="L129" s="9"/>
      <c r="M129" s="9"/>
      <c r="N129" s="9"/>
      <c r="O129" s="14"/>
      <c r="P129" s="28" t="s">
        <v>156</v>
      </c>
      <c r="Q129" s="18"/>
      <c r="R129" s="19"/>
      <c r="S129" s="18"/>
      <c r="T129" s="18"/>
      <c r="U129" s="29" t="s">
        <v>156</v>
      </c>
      <c r="V129" s="18"/>
      <c r="W129" s="18"/>
      <c r="X129" s="14"/>
      <c r="Y129" s="14"/>
      <c r="Z129" s="14"/>
      <c r="AA129" s="14"/>
      <c r="AB129" s="14"/>
      <c r="AC129" s="14"/>
      <c r="AD129" s="14"/>
      <c r="AE129" s="14"/>
      <c r="AF129" s="30" t="s">
        <v>156</v>
      </c>
      <c r="AG129" s="14"/>
      <c r="AH129" s="14"/>
      <c r="AI129" s="14"/>
      <c r="AJ129" s="14"/>
      <c r="AK129" s="31" t="s">
        <v>156</v>
      </c>
    </row>
    <row r="130" spans="2:37" s="38" customFormat="1" ht="10.5" hidden="1" customHeight="1" x14ac:dyDescent="0.2">
      <c r="B130" s="37"/>
      <c r="C130" s="37"/>
      <c r="D130" s="32" t="s">
        <v>156</v>
      </c>
      <c r="E130" s="179"/>
      <c r="F130" s="9"/>
      <c r="G130" s="9"/>
      <c r="H130" s="9"/>
      <c r="I130" s="9"/>
      <c r="J130" s="33" t="s">
        <v>156</v>
      </c>
      <c r="K130" s="9"/>
      <c r="L130" s="9"/>
      <c r="M130" s="9"/>
      <c r="N130" s="9"/>
      <c r="O130" s="14"/>
      <c r="P130" s="34" t="s">
        <v>156</v>
      </c>
      <c r="Q130" s="18"/>
      <c r="R130" s="19"/>
      <c r="S130" s="18"/>
      <c r="T130" s="18"/>
      <c r="U130" s="35" t="s">
        <v>156</v>
      </c>
      <c r="V130" s="18"/>
      <c r="W130" s="18"/>
      <c r="X130" s="14"/>
      <c r="Y130" s="14"/>
      <c r="Z130" s="14"/>
      <c r="AA130" s="14"/>
      <c r="AB130" s="14"/>
      <c r="AC130" s="14"/>
      <c r="AD130" s="14"/>
      <c r="AE130" s="14"/>
      <c r="AF130" s="35" t="s">
        <v>156</v>
      </c>
      <c r="AG130" s="14"/>
      <c r="AH130" s="14"/>
      <c r="AI130" s="14"/>
      <c r="AJ130" s="14"/>
      <c r="AK130" s="36" t="s">
        <v>156</v>
      </c>
    </row>
    <row r="131" spans="2:37" s="38" customFormat="1" ht="10.5" hidden="1" customHeight="1" x14ac:dyDescent="0.2">
      <c r="B131" s="37"/>
      <c r="C131" s="37"/>
      <c r="D131" s="27" t="s">
        <v>156</v>
      </c>
      <c r="E131" s="178"/>
      <c r="F131" s="9"/>
      <c r="G131" s="9"/>
      <c r="H131" s="9"/>
      <c r="I131" s="9"/>
      <c r="J131" s="27" t="s">
        <v>156</v>
      </c>
      <c r="K131" s="9"/>
      <c r="L131" s="9"/>
      <c r="M131" s="9"/>
      <c r="N131" s="9"/>
      <c r="O131" s="14"/>
      <c r="P131" s="28" t="s">
        <v>156</v>
      </c>
      <c r="Q131" s="18"/>
      <c r="R131" s="19"/>
      <c r="S131" s="18"/>
      <c r="T131" s="18"/>
      <c r="U131" s="29" t="s">
        <v>156</v>
      </c>
      <c r="V131" s="18"/>
      <c r="W131" s="18"/>
      <c r="X131" s="14"/>
      <c r="Y131" s="14"/>
      <c r="Z131" s="14"/>
      <c r="AA131" s="14"/>
      <c r="AB131" s="14"/>
      <c r="AC131" s="14"/>
      <c r="AD131" s="14"/>
      <c r="AE131" s="14"/>
      <c r="AF131" s="30" t="s">
        <v>156</v>
      </c>
      <c r="AG131" s="14"/>
      <c r="AH131" s="14"/>
      <c r="AI131" s="14"/>
      <c r="AJ131" s="14"/>
      <c r="AK131" s="31" t="s">
        <v>156</v>
      </c>
    </row>
    <row r="132" spans="2:37" s="38" customFormat="1" ht="10.5" hidden="1" customHeight="1" x14ac:dyDescent="0.2">
      <c r="B132" s="37"/>
      <c r="C132" s="37"/>
      <c r="D132" s="32" t="s">
        <v>156</v>
      </c>
      <c r="E132" s="179"/>
      <c r="F132" s="9"/>
      <c r="G132" s="9"/>
      <c r="H132" s="9"/>
      <c r="I132" s="9"/>
      <c r="J132" s="33" t="s">
        <v>156</v>
      </c>
      <c r="K132" s="9"/>
      <c r="L132" s="9"/>
      <c r="M132" s="9"/>
      <c r="N132" s="9"/>
      <c r="O132" s="14"/>
      <c r="P132" s="34" t="s">
        <v>156</v>
      </c>
      <c r="Q132" s="18"/>
      <c r="R132" s="19"/>
      <c r="S132" s="18"/>
      <c r="T132" s="18"/>
      <c r="U132" s="35" t="s">
        <v>156</v>
      </c>
      <c r="V132" s="18"/>
      <c r="W132" s="18"/>
      <c r="X132" s="14"/>
      <c r="Y132" s="14"/>
      <c r="Z132" s="14"/>
      <c r="AA132" s="14"/>
      <c r="AB132" s="14"/>
      <c r="AC132" s="14"/>
      <c r="AD132" s="14"/>
      <c r="AE132" s="14"/>
      <c r="AF132" s="35" t="s">
        <v>156</v>
      </c>
      <c r="AG132" s="14"/>
      <c r="AH132" s="14"/>
      <c r="AI132" s="14"/>
      <c r="AJ132" s="14"/>
      <c r="AK132" s="36" t="s">
        <v>156</v>
      </c>
    </row>
    <row r="133" spans="2:37" s="38" customFormat="1" ht="10.5" hidden="1" customHeight="1" x14ac:dyDescent="0.2">
      <c r="B133" s="37"/>
      <c r="C133" s="37"/>
      <c r="D133" s="27" t="s">
        <v>156</v>
      </c>
      <c r="E133" s="178"/>
      <c r="F133" s="9"/>
      <c r="G133" s="9"/>
      <c r="H133" s="9"/>
      <c r="I133" s="9"/>
      <c r="J133" s="27" t="s">
        <v>156</v>
      </c>
      <c r="K133" s="9"/>
      <c r="L133" s="9"/>
      <c r="M133" s="9"/>
      <c r="N133" s="9"/>
      <c r="O133" s="14"/>
      <c r="P133" s="28" t="s">
        <v>156</v>
      </c>
      <c r="Q133" s="18"/>
      <c r="R133" s="19"/>
      <c r="S133" s="18"/>
      <c r="T133" s="18"/>
      <c r="U133" s="29" t="s">
        <v>156</v>
      </c>
      <c r="V133" s="18"/>
      <c r="W133" s="18"/>
      <c r="X133" s="14"/>
      <c r="Y133" s="14"/>
      <c r="Z133" s="14"/>
      <c r="AA133" s="14"/>
      <c r="AB133" s="14"/>
      <c r="AC133" s="14"/>
      <c r="AD133" s="14"/>
      <c r="AE133" s="14"/>
      <c r="AF133" s="30" t="s">
        <v>156</v>
      </c>
      <c r="AG133" s="14"/>
      <c r="AH133" s="14"/>
      <c r="AI133" s="14"/>
      <c r="AJ133" s="14"/>
      <c r="AK133" s="31" t="s">
        <v>156</v>
      </c>
    </row>
    <row r="134" spans="2:37" s="38" customFormat="1" ht="10.5" hidden="1" customHeight="1" x14ac:dyDescent="0.2">
      <c r="B134" s="37"/>
      <c r="C134" s="37"/>
      <c r="D134" s="32" t="s">
        <v>156</v>
      </c>
      <c r="E134" s="179"/>
      <c r="F134" s="9"/>
      <c r="G134" s="9"/>
      <c r="H134" s="9"/>
      <c r="I134" s="9"/>
      <c r="J134" s="33" t="s">
        <v>156</v>
      </c>
      <c r="K134" s="9"/>
      <c r="L134" s="9"/>
      <c r="M134" s="9"/>
      <c r="N134" s="9"/>
      <c r="O134" s="14"/>
      <c r="P134" s="34" t="s">
        <v>156</v>
      </c>
      <c r="Q134" s="18"/>
      <c r="R134" s="19"/>
      <c r="S134" s="18"/>
      <c r="T134" s="18"/>
      <c r="U134" s="35" t="s">
        <v>156</v>
      </c>
      <c r="V134" s="18"/>
      <c r="W134" s="18"/>
      <c r="X134" s="14"/>
      <c r="Y134" s="14"/>
      <c r="Z134" s="14"/>
      <c r="AA134" s="14"/>
      <c r="AB134" s="14"/>
      <c r="AC134" s="14"/>
      <c r="AD134" s="14"/>
      <c r="AE134" s="14"/>
      <c r="AF134" s="35" t="s">
        <v>156</v>
      </c>
      <c r="AG134" s="14"/>
      <c r="AH134" s="14"/>
      <c r="AI134" s="14"/>
      <c r="AJ134" s="14"/>
      <c r="AK134" s="36" t="s">
        <v>156</v>
      </c>
    </row>
    <row r="135" spans="2:37" s="38" customFormat="1" ht="10.5" hidden="1" customHeight="1" x14ac:dyDescent="0.2">
      <c r="B135" s="37"/>
      <c r="C135" s="37"/>
      <c r="D135" s="27" t="s">
        <v>156</v>
      </c>
      <c r="E135" s="178"/>
      <c r="F135" s="9"/>
      <c r="G135" s="9"/>
      <c r="H135" s="9"/>
      <c r="I135" s="9"/>
      <c r="J135" s="27" t="s">
        <v>156</v>
      </c>
      <c r="K135" s="9"/>
      <c r="L135" s="9"/>
      <c r="M135" s="9"/>
      <c r="N135" s="9"/>
      <c r="O135" s="14"/>
      <c r="P135" s="28" t="s">
        <v>156</v>
      </c>
      <c r="Q135" s="18"/>
      <c r="R135" s="19"/>
      <c r="S135" s="18"/>
      <c r="T135" s="18"/>
      <c r="U135" s="29" t="s">
        <v>156</v>
      </c>
      <c r="V135" s="18"/>
      <c r="W135" s="18"/>
      <c r="X135" s="14"/>
      <c r="Y135" s="14"/>
      <c r="Z135" s="14"/>
      <c r="AA135" s="14"/>
      <c r="AB135" s="14"/>
      <c r="AC135" s="14"/>
      <c r="AD135" s="14"/>
      <c r="AE135" s="14"/>
      <c r="AF135" s="30" t="s">
        <v>156</v>
      </c>
      <c r="AG135" s="14"/>
      <c r="AH135" s="14"/>
      <c r="AI135" s="14"/>
      <c r="AJ135" s="14"/>
      <c r="AK135" s="31" t="s">
        <v>156</v>
      </c>
    </row>
    <row r="136" spans="2:37" s="41" customFormat="1" ht="10.5" hidden="1" customHeight="1" x14ac:dyDescent="0.25">
      <c r="B136" s="37"/>
      <c r="C136" s="37"/>
      <c r="D136" s="37"/>
      <c r="E136" s="37"/>
      <c r="F136" s="37"/>
      <c r="G136" s="37"/>
      <c r="H136" s="37"/>
      <c r="I136" s="37"/>
      <c r="J136" s="37"/>
      <c r="K136" s="37"/>
      <c r="L136" s="37"/>
      <c r="M136" s="37"/>
      <c r="N136" s="37"/>
      <c r="O136" s="37"/>
      <c r="P136" s="39"/>
      <c r="Q136" s="40"/>
      <c r="R136" s="39"/>
      <c r="S136" s="39"/>
      <c r="T136" s="39"/>
      <c r="U136" s="39"/>
      <c r="V136" s="39"/>
      <c r="W136" s="39"/>
      <c r="AB136" s="42"/>
      <c r="AC136" s="42"/>
      <c r="AD136" s="42"/>
      <c r="AK136" s="43"/>
    </row>
    <row r="137" spans="2:37" s="41" customFormat="1" ht="10.5" hidden="1" customHeight="1" x14ac:dyDescent="0.25">
      <c r="B137" s="37"/>
      <c r="C137" s="37"/>
      <c r="D137" s="37"/>
      <c r="E137" s="37"/>
      <c r="F137" s="37"/>
      <c r="G137" s="37"/>
      <c r="H137" s="37"/>
      <c r="I137" s="37"/>
      <c r="J137" s="37"/>
      <c r="K137" s="37"/>
      <c r="M137" s="37"/>
      <c r="N137" s="37"/>
      <c r="O137" s="37"/>
      <c r="P137" s="39"/>
      <c r="Q137" s="40"/>
      <c r="R137" s="39"/>
      <c r="S137" s="39"/>
      <c r="T137" s="39"/>
      <c r="U137" s="39"/>
      <c r="V137" s="39"/>
      <c r="W137" s="39"/>
      <c r="AB137" s="42"/>
      <c r="AC137" s="42"/>
      <c r="AD137" s="42"/>
      <c r="AK137" s="43"/>
    </row>
    <row r="138" spans="2:37" s="41" customFormat="1" ht="10.5" hidden="1" customHeight="1" x14ac:dyDescent="0.25">
      <c r="B138" s="37"/>
      <c r="C138" s="37"/>
      <c r="D138" s="37"/>
      <c r="E138" s="37"/>
      <c r="F138" s="37"/>
      <c r="G138" s="37"/>
      <c r="H138" s="37"/>
      <c r="I138" s="37"/>
      <c r="J138" s="37"/>
      <c r="K138" s="37"/>
      <c r="M138" s="37"/>
      <c r="N138" s="37"/>
      <c r="O138" s="37"/>
      <c r="P138" s="39"/>
      <c r="Q138" s="40"/>
      <c r="R138" s="39"/>
      <c r="S138" s="39"/>
      <c r="T138" s="39"/>
      <c r="U138" s="39"/>
      <c r="V138" s="39"/>
      <c r="W138" s="39"/>
      <c r="AB138" s="42"/>
      <c r="AC138" s="42"/>
      <c r="AD138" s="42"/>
      <c r="AK138" s="43"/>
    </row>
    <row r="139" spans="2:37" s="41" customFormat="1" ht="10.5" hidden="1" customHeight="1" x14ac:dyDescent="0.25">
      <c r="B139" s="37"/>
      <c r="C139" s="37"/>
      <c r="D139" s="37"/>
      <c r="E139" s="37"/>
      <c r="F139" s="37"/>
      <c r="G139" s="37"/>
      <c r="H139" s="37"/>
      <c r="I139" s="37"/>
      <c r="J139" s="37"/>
      <c r="K139" s="37"/>
      <c r="M139" s="37"/>
      <c r="N139" s="37"/>
      <c r="O139" s="37"/>
      <c r="P139" s="39"/>
      <c r="Q139" s="40"/>
      <c r="R139" s="39"/>
      <c r="S139" s="39"/>
      <c r="T139" s="39"/>
      <c r="U139" s="39"/>
      <c r="V139" s="39"/>
      <c r="W139" s="39"/>
      <c r="AB139" s="42"/>
      <c r="AC139" s="42"/>
      <c r="AD139" s="42"/>
      <c r="AK139" s="43"/>
    </row>
    <row r="140" spans="2:37" s="41" customFormat="1" ht="10.5" hidden="1" customHeight="1" x14ac:dyDescent="0.25">
      <c r="B140" s="37"/>
      <c r="C140" s="37"/>
      <c r="D140" s="37"/>
      <c r="E140" s="37"/>
      <c r="F140" s="37"/>
      <c r="G140" s="37"/>
      <c r="H140" s="37"/>
      <c r="I140" s="37"/>
      <c r="K140" s="37"/>
      <c r="M140" s="37"/>
      <c r="N140" s="37"/>
      <c r="O140" s="37"/>
      <c r="P140" s="39"/>
      <c r="Q140" s="40"/>
      <c r="R140" s="39"/>
      <c r="S140" s="39"/>
      <c r="T140" s="39"/>
      <c r="U140" s="39"/>
      <c r="V140" s="39"/>
      <c r="W140" s="39"/>
      <c r="AB140" s="42"/>
      <c r="AC140" s="42"/>
      <c r="AD140" s="42"/>
      <c r="AK140" s="43"/>
    </row>
    <row r="141" spans="2:37" s="41" customFormat="1" ht="10.5" hidden="1" customHeight="1" thickBot="1" x14ac:dyDescent="0.3">
      <c r="B141" s="37"/>
      <c r="C141" s="37"/>
      <c r="D141" s="37"/>
      <c r="E141" s="37"/>
      <c r="F141" s="37"/>
      <c r="G141" s="37"/>
      <c r="H141" s="37"/>
      <c r="I141" s="37"/>
      <c r="K141" s="37"/>
      <c r="M141" s="37"/>
      <c r="N141" s="37"/>
      <c r="O141" s="37"/>
      <c r="P141" s="39"/>
      <c r="Q141" s="40"/>
      <c r="R141" s="39"/>
      <c r="S141" s="39"/>
      <c r="T141" s="39"/>
      <c r="U141" s="39"/>
      <c r="V141" s="39"/>
      <c r="W141" s="39"/>
      <c r="AB141" s="42"/>
      <c r="AC141" s="42"/>
      <c r="AD141" s="42"/>
      <c r="AK141" s="43"/>
    </row>
    <row r="142" spans="2:37" ht="15" hidden="1" customHeight="1" thickBot="1" x14ac:dyDescent="0.3">
      <c r="F142" s="45" t="s">
        <v>2</v>
      </c>
      <c r="I142" s="44" t="s">
        <v>1</v>
      </c>
      <c r="M142" s="5"/>
      <c r="N142" s="5"/>
      <c r="O142" s="47"/>
      <c r="P142" s="48"/>
      <c r="Q142" s="5"/>
      <c r="R142" s="10"/>
      <c r="S142" s="5"/>
      <c r="T142" s="10"/>
      <c r="V142" s="6"/>
      <c r="W142" s="49"/>
      <c r="AE142" s="388" t="s">
        <v>170</v>
      </c>
      <c r="AF142" s="389"/>
      <c r="AI142" s="168" t="s">
        <v>317</v>
      </c>
    </row>
    <row r="143" spans="2:37" ht="15" hidden="1" customHeight="1" thickBot="1" x14ac:dyDescent="0.3">
      <c r="F143" s="50"/>
      <c r="I143" s="46" t="s">
        <v>34</v>
      </c>
      <c r="M143" s="5"/>
      <c r="N143" s="5"/>
      <c r="O143" s="47"/>
      <c r="P143" s="48"/>
      <c r="Q143" s="5"/>
      <c r="R143" s="10"/>
      <c r="S143" s="5"/>
      <c r="T143" s="10"/>
      <c r="V143" s="6"/>
      <c r="W143" s="49"/>
      <c r="AB143" s="138" t="s">
        <v>167</v>
      </c>
      <c r="AC143" s="138"/>
      <c r="AD143" s="138"/>
      <c r="AE143" s="390">
        <f>$R$225</f>
        <v>30000</v>
      </c>
      <c r="AF143" s="391"/>
      <c r="AI143" s="228" t="s">
        <v>306</v>
      </c>
    </row>
    <row r="144" spans="2:37" ht="15.75" hidden="1" customHeight="1" x14ac:dyDescent="0.25">
      <c r="F144" s="51">
        <v>0.1</v>
      </c>
      <c r="I144" s="6" t="s">
        <v>3</v>
      </c>
      <c r="M144" s="5"/>
      <c r="N144" s="5"/>
      <c r="O144" s="47"/>
      <c r="Q144" s="5"/>
      <c r="R144" s="53"/>
      <c r="S144" s="5"/>
      <c r="T144" s="10"/>
      <c r="V144" s="6"/>
      <c r="W144" s="49"/>
      <c r="AB144" s="138" t="s">
        <v>168</v>
      </c>
      <c r="AC144" s="138"/>
      <c r="AD144" s="138"/>
      <c r="AE144" s="392">
        <f>'Fiche Creation Commande (P2)'!$O$79</f>
        <v>0</v>
      </c>
      <c r="AF144" s="393"/>
      <c r="AI144" s="229" t="s">
        <v>307</v>
      </c>
    </row>
    <row r="145" spans="2:47" ht="15" hidden="1" customHeight="1" thickBot="1" x14ac:dyDescent="0.3">
      <c r="F145" s="51">
        <v>0.2</v>
      </c>
      <c r="I145" s="52" t="s">
        <v>4</v>
      </c>
      <c r="M145" s="5"/>
      <c r="N145" s="5"/>
      <c r="O145" s="55"/>
      <c r="P145" s="48"/>
      <c r="Q145" s="5"/>
      <c r="R145" s="53" t="s">
        <v>6</v>
      </c>
      <c r="S145" s="5"/>
      <c r="T145" s="10"/>
      <c r="V145" s="6"/>
      <c r="W145" s="49"/>
      <c r="AB145" s="138" t="s">
        <v>169</v>
      </c>
      <c r="AC145" s="138"/>
      <c r="AD145" s="138"/>
      <c r="AE145" s="394">
        <f>'Fiche Creation Commande (P2)'!$O$142</f>
        <v>0</v>
      </c>
      <c r="AF145" s="395"/>
      <c r="AI145" s="230" t="s">
        <v>308</v>
      </c>
    </row>
    <row r="146" spans="2:47" ht="15" hidden="1" customHeight="1" thickBot="1" x14ac:dyDescent="0.3">
      <c r="F146" s="51">
        <v>0.3</v>
      </c>
      <c r="I146" s="54" t="s">
        <v>5</v>
      </c>
      <c r="M146" s="5"/>
      <c r="N146" s="5"/>
      <c r="O146" s="47"/>
      <c r="P146" s="48"/>
      <c r="Q146" s="5"/>
      <c r="R146" s="53" t="s">
        <v>7</v>
      </c>
      <c r="S146" s="5"/>
      <c r="T146" s="10"/>
      <c r="V146" s="6"/>
      <c r="W146" s="49"/>
      <c r="AB146" s="139"/>
      <c r="AC146" s="139"/>
      <c r="AD146" s="139"/>
      <c r="AE146" s="388" t="s">
        <v>171</v>
      </c>
      <c r="AF146" s="399"/>
      <c r="AI146" s="231" t="s">
        <v>309</v>
      </c>
    </row>
    <row r="147" spans="2:47" ht="15.75" hidden="1" customHeight="1" x14ac:dyDescent="0.25">
      <c r="F147" s="51">
        <v>0.4</v>
      </c>
      <c r="I147" s="54" t="s">
        <v>186</v>
      </c>
      <c r="M147" s="5"/>
      <c r="N147" s="5"/>
      <c r="O147" s="47"/>
      <c r="Q147" s="5"/>
      <c r="R147" s="10"/>
      <c r="S147" s="5"/>
      <c r="T147" s="10"/>
      <c r="V147" s="6"/>
      <c r="W147" s="49"/>
      <c r="AB147" s="138" t="s">
        <v>172</v>
      </c>
      <c r="AC147" s="138"/>
      <c r="AD147" s="138"/>
      <c r="AE147" s="390">
        <f>AE143</f>
        <v>30000</v>
      </c>
      <c r="AF147" s="398"/>
      <c r="AI147" s="232" t="s">
        <v>310</v>
      </c>
    </row>
    <row r="148" spans="2:47" ht="15" hidden="1" customHeight="1" x14ac:dyDescent="0.25">
      <c r="F148" s="51">
        <v>0.5</v>
      </c>
      <c r="I148" s="56" t="s">
        <v>187</v>
      </c>
      <c r="M148" s="5"/>
      <c r="N148" s="5"/>
      <c r="O148" s="47"/>
      <c r="P148" s="48"/>
      <c r="Q148" s="5"/>
      <c r="R148" s="53"/>
      <c r="S148" s="5"/>
      <c r="T148" s="10"/>
      <c r="V148" s="6"/>
      <c r="W148" s="49"/>
      <c r="AB148" s="138" t="s">
        <v>173</v>
      </c>
      <c r="AC148" s="138"/>
      <c r="AD148" s="138"/>
      <c r="AE148" s="392" t="str">
        <f>IF(AE144&lt;&gt;0,AE144-AE143,"")</f>
        <v/>
      </c>
      <c r="AF148" s="397"/>
      <c r="AI148" s="233" t="s">
        <v>311</v>
      </c>
    </row>
    <row r="149" spans="2:47" ht="15" hidden="1" customHeight="1" thickBot="1" x14ac:dyDescent="0.3">
      <c r="F149" s="51">
        <v>0.6</v>
      </c>
      <c r="I149" s="56" t="s">
        <v>188</v>
      </c>
      <c r="M149" s="5"/>
      <c r="N149" s="5"/>
      <c r="O149" s="47"/>
      <c r="P149" s="48"/>
      <c r="Q149" s="5"/>
      <c r="R149" s="53">
        <v>92</v>
      </c>
      <c r="S149" s="5"/>
      <c r="T149" s="10"/>
      <c r="V149" s="6"/>
      <c r="W149" s="49"/>
      <c r="AB149" s="138" t="s">
        <v>174</v>
      </c>
      <c r="AC149" s="138"/>
      <c r="AD149" s="138"/>
      <c r="AE149" s="394" t="str">
        <f>IF(AE145&lt;&gt;0,AE145-AE144,"")</f>
        <v/>
      </c>
      <c r="AF149" s="396"/>
      <c r="AI149" s="234" t="s">
        <v>312</v>
      </c>
    </row>
    <row r="150" spans="2:47" ht="15" hidden="1" customHeight="1" thickBot="1" x14ac:dyDescent="0.3">
      <c r="F150" s="51">
        <v>0.7</v>
      </c>
      <c r="I150" s="56" t="s">
        <v>8</v>
      </c>
      <c r="M150" s="5"/>
      <c r="N150" s="5"/>
      <c r="O150" s="47"/>
      <c r="P150" s="48"/>
      <c r="Q150" s="5"/>
      <c r="R150" s="53">
        <v>94</v>
      </c>
      <c r="S150" s="5"/>
      <c r="T150" s="10"/>
      <c r="V150" s="6"/>
      <c r="W150" s="49"/>
      <c r="AI150" s="235" t="s">
        <v>313</v>
      </c>
    </row>
    <row r="151" spans="2:47" ht="15" hidden="1" customHeight="1" x14ac:dyDescent="0.25">
      <c r="F151" s="51">
        <v>0.8</v>
      </c>
      <c r="I151" s="57" t="s">
        <v>189</v>
      </c>
      <c r="M151" s="5"/>
      <c r="N151" s="5"/>
      <c r="O151" s="55"/>
      <c r="P151" s="48"/>
      <c r="Q151" s="5"/>
      <c r="R151" s="58" t="s">
        <v>11</v>
      </c>
      <c r="S151" s="5"/>
      <c r="T151" s="10"/>
      <c r="V151" s="6" t="s">
        <v>13</v>
      </c>
      <c r="W151" s="49"/>
      <c r="AD151" s="165" t="s">
        <v>9</v>
      </c>
      <c r="AI151" s="236" t="s">
        <v>314</v>
      </c>
    </row>
    <row r="152" spans="2:47" ht="15" hidden="1" customHeight="1" thickBot="1" x14ac:dyDescent="0.3">
      <c r="F152" s="59">
        <v>0.9</v>
      </c>
      <c r="I152" s="54" t="s">
        <v>10</v>
      </c>
      <c r="M152" s="5"/>
      <c r="N152" s="5"/>
      <c r="O152" s="47"/>
      <c r="P152" s="48"/>
      <c r="Q152" s="5"/>
      <c r="S152" s="5"/>
      <c r="T152" s="10"/>
      <c r="V152" s="6" t="s">
        <v>15</v>
      </c>
      <c r="W152" s="49"/>
      <c r="AD152" s="56"/>
      <c r="AI152" s="237" t="s">
        <v>315</v>
      </c>
    </row>
    <row r="153" spans="2:47" ht="15" hidden="1" customHeight="1" thickBot="1" x14ac:dyDescent="0.3">
      <c r="I153" s="54" t="s">
        <v>14</v>
      </c>
      <c r="M153" s="5"/>
      <c r="N153" s="5"/>
      <c r="O153" s="55"/>
      <c r="P153" s="48"/>
      <c r="Q153" s="5"/>
      <c r="R153" s="60" t="s">
        <v>16</v>
      </c>
      <c r="S153" s="5"/>
      <c r="T153" s="10"/>
      <c r="V153" s="6" t="s">
        <v>18</v>
      </c>
      <c r="W153" s="49"/>
      <c r="AD153" s="57" t="s">
        <v>12</v>
      </c>
      <c r="AI153" s="239" t="s">
        <v>318</v>
      </c>
    </row>
    <row r="154" spans="2:47" ht="15" hidden="1" customHeight="1" thickBot="1" x14ac:dyDescent="0.3">
      <c r="I154" s="57"/>
      <c r="M154" s="5"/>
      <c r="N154" s="5"/>
      <c r="O154" s="55"/>
      <c r="Q154" s="48"/>
      <c r="R154" s="53" t="s">
        <v>19</v>
      </c>
      <c r="S154" s="5"/>
      <c r="T154" s="61"/>
      <c r="V154" s="6"/>
      <c r="W154" s="49"/>
      <c r="AD154" s="57" t="s">
        <v>175</v>
      </c>
      <c r="AI154" s="238" t="s">
        <v>316</v>
      </c>
    </row>
    <row r="155" spans="2:47" ht="15" hidden="1" customHeight="1" thickBot="1" x14ac:dyDescent="0.3">
      <c r="M155" s="5"/>
      <c r="N155" s="5"/>
      <c r="O155" s="47"/>
      <c r="P155" s="48"/>
      <c r="Q155" s="48"/>
      <c r="R155" s="63" t="s">
        <v>20</v>
      </c>
      <c r="S155" s="5"/>
      <c r="T155" s="10"/>
      <c r="V155" s="6"/>
      <c r="W155" s="49"/>
      <c r="AD155" s="57" t="s">
        <v>17</v>
      </c>
      <c r="AI155" s="227"/>
    </row>
    <row r="156" spans="2:47" ht="15" hidden="1" customHeight="1" thickBot="1" x14ac:dyDescent="0.3">
      <c r="I156" s="62"/>
      <c r="M156" s="5"/>
      <c r="N156" s="5"/>
      <c r="O156" s="55"/>
      <c r="P156" s="48"/>
      <c r="Q156" s="48"/>
      <c r="R156" s="63" t="s">
        <v>21</v>
      </c>
      <c r="S156" s="5"/>
      <c r="T156" s="10"/>
      <c r="U156" s="6" t="s">
        <v>22</v>
      </c>
      <c r="V156" s="6"/>
      <c r="W156" s="49"/>
      <c r="AD156" s="164" t="s">
        <v>191</v>
      </c>
    </row>
    <row r="157" spans="2:47" ht="15" hidden="1" customHeight="1" x14ac:dyDescent="0.25">
      <c r="M157" s="5"/>
      <c r="N157" s="5"/>
      <c r="O157" s="47"/>
      <c r="P157" s="48"/>
      <c r="Q157" s="48"/>
      <c r="R157" s="63" t="s">
        <v>23</v>
      </c>
      <c r="S157" s="5"/>
      <c r="T157" s="10"/>
      <c r="U157" s="6" t="s">
        <v>24</v>
      </c>
      <c r="V157" s="6"/>
      <c r="W157" s="49"/>
    </row>
    <row r="158" spans="2:47" ht="15" hidden="1" customHeight="1" x14ac:dyDescent="0.25">
      <c r="M158" s="5"/>
      <c r="N158" s="5"/>
      <c r="O158" s="55"/>
      <c r="P158" s="48"/>
      <c r="Q158" s="48"/>
      <c r="R158" s="63" t="s">
        <v>25</v>
      </c>
      <c r="S158" s="5"/>
      <c r="T158" s="10"/>
      <c r="V158" s="6"/>
      <c r="W158" s="49"/>
    </row>
    <row r="159" spans="2:47" ht="15" hidden="1" customHeight="1" x14ac:dyDescent="0.25">
      <c r="M159" s="5"/>
      <c r="N159" s="5"/>
      <c r="O159" s="55"/>
      <c r="P159" s="48"/>
      <c r="Q159" s="48"/>
      <c r="R159" s="64"/>
      <c r="S159" s="5"/>
      <c r="T159" s="10"/>
      <c r="V159" s="6"/>
      <c r="W159" s="49"/>
    </row>
    <row r="160" spans="2:47" ht="10.5" customHeight="1" x14ac:dyDescent="0.25">
      <c r="B160" s="65" t="s">
        <v>0</v>
      </c>
      <c r="C160" s="65"/>
      <c r="D160" s="65"/>
      <c r="E160" s="65"/>
      <c r="F160" s="65"/>
      <c r="G160" s="65"/>
      <c r="H160" s="65"/>
      <c r="I160" s="66"/>
      <c r="J160" s="66"/>
      <c r="K160" s="66"/>
      <c r="L160" s="66"/>
      <c r="M160" s="66"/>
      <c r="N160" s="66"/>
      <c r="O160" s="66"/>
      <c r="P160" s="66"/>
      <c r="Q160" s="67"/>
      <c r="R160" s="66"/>
      <c r="S160" s="66"/>
      <c r="T160" s="66"/>
      <c r="U160" s="66"/>
      <c r="V160" s="66"/>
      <c r="W160" s="5"/>
      <c r="AA160" s="162"/>
      <c r="AB160" s="158"/>
      <c r="AC160" s="158"/>
      <c r="AD160" s="158"/>
      <c r="AE160" s="159"/>
      <c r="AF160" s="359" t="s">
        <v>293</v>
      </c>
      <c r="AG160" s="359"/>
      <c r="AH160" s="359"/>
      <c r="AI160" s="359"/>
      <c r="AJ160" s="359"/>
      <c r="AK160" s="359"/>
      <c r="AL160" s="359"/>
      <c r="AM160" s="360"/>
      <c r="AO160" s="85"/>
      <c r="AP160" s="85"/>
      <c r="AQ160" s="85"/>
      <c r="AR160" s="85"/>
      <c r="AS160" s="85"/>
      <c r="AT160" s="85"/>
      <c r="AU160" s="85"/>
    </row>
    <row r="161" spans="1:47" ht="12" customHeight="1" thickBot="1" x14ac:dyDescent="0.3">
      <c r="A161" s="68"/>
      <c r="B161" s="69" t="s">
        <v>27</v>
      </c>
      <c r="C161" s="69"/>
      <c r="D161" s="69"/>
      <c r="E161" s="69"/>
      <c r="F161" s="69"/>
      <c r="G161" s="69"/>
      <c r="H161" s="69"/>
      <c r="I161" s="68"/>
      <c r="J161" s="68"/>
      <c r="K161" s="68"/>
      <c r="L161" s="68"/>
      <c r="M161" s="68"/>
      <c r="N161" s="68"/>
      <c r="O161" s="68"/>
      <c r="P161" s="68"/>
      <c r="Q161" s="68"/>
      <c r="R161" s="68"/>
      <c r="S161" s="68"/>
      <c r="T161" s="70"/>
      <c r="U161" s="68"/>
      <c r="V161" s="68"/>
      <c r="W161" s="68"/>
      <c r="AA161" s="145"/>
      <c r="AB161" s="341" t="s">
        <v>175</v>
      </c>
      <c r="AC161" s="342"/>
      <c r="AD161" s="343"/>
      <c r="AE161" s="146"/>
      <c r="AF161" s="361"/>
      <c r="AG161" s="361"/>
      <c r="AH161" s="361"/>
      <c r="AI161" s="361"/>
      <c r="AJ161" s="361"/>
      <c r="AK161" s="361"/>
      <c r="AL161" s="361"/>
      <c r="AM161" s="362"/>
      <c r="AO161" s="85"/>
      <c r="AP161" s="85"/>
      <c r="AQ161" s="85"/>
      <c r="AR161" s="85"/>
      <c r="AS161" s="85"/>
      <c r="AT161" s="85"/>
      <c r="AU161" s="85"/>
    </row>
    <row r="162" spans="1:47" ht="12" customHeight="1" x14ac:dyDescent="0.25">
      <c r="A162" s="68"/>
      <c r="B162" s="72"/>
      <c r="C162" s="174"/>
      <c r="D162" s="73"/>
      <c r="E162" s="73"/>
      <c r="F162" s="172"/>
      <c r="G162" s="173" t="s">
        <v>196</v>
      </c>
      <c r="H162" s="426">
        <f ca="1">TODAY()</f>
        <v>46091</v>
      </c>
      <c r="I162" s="427"/>
      <c r="J162" s="427"/>
      <c r="K162" s="427"/>
      <c r="L162" s="421"/>
      <c r="M162" s="421"/>
      <c r="N162" s="421"/>
      <c r="O162" s="421"/>
      <c r="P162" s="421"/>
      <c r="Q162" s="421"/>
      <c r="R162" s="423"/>
      <c r="S162" s="414" t="str">
        <f>IF(AB161="MODELE","[ X ] - MODELE",IF(AB161="INITIALE","[ X ] - NOUVELLE COMMANDE",IF(AB161="AVENANT","[ X ] - AVENANT A LA CDE N°",IF(AB161="MISE A JOUR","[ X ] - MISE A JOUR A LA COMMANDE NON DEFINITIVE","[   ] INITIALE  /  [   ] MODELE  /  [   ] AVENANT  /  [   ] MAJ"))))</f>
        <v>[ X ] - NOUVELLE COMMANDE</v>
      </c>
      <c r="T162" s="414"/>
      <c r="U162" s="414"/>
      <c r="V162" s="415"/>
      <c r="W162" s="74"/>
      <c r="AA162" s="145"/>
      <c r="AB162" s="344"/>
      <c r="AC162" s="345"/>
      <c r="AD162" s="346"/>
      <c r="AE162" s="146"/>
      <c r="AF162" s="361"/>
      <c r="AG162" s="361"/>
      <c r="AH162" s="361"/>
      <c r="AI162" s="361"/>
      <c r="AJ162" s="361"/>
      <c r="AK162" s="361"/>
      <c r="AL162" s="361"/>
      <c r="AM162" s="362"/>
      <c r="AO162" s="85"/>
      <c r="AP162" s="85"/>
      <c r="AQ162" s="85"/>
      <c r="AR162" s="85"/>
      <c r="AS162" s="85"/>
      <c r="AT162" s="85"/>
      <c r="AU162" s="85"/>
    </row>
    <row r="163" spans="1:47" ht="18" customHeight="1" thickBot="1" x14ac:dyDescent="0.3">
      <c r="A163" s="68"/>
      <c r="B163" s="75"/>
      <c r="C163" s="175"/>
      <c r="D163" s="107"/>
      <c r="E163" s="107"/>
      <c r="F163" s="425" t="s">
        <v>28</v>
      </c>
      <c r="G163" s="425"/>
      <c r="H163" s="425"/>
      <c r="I163" s="425"/>
      <c r="J163" s="425"/>
      <c r="K163" s="425"/>
      <c r="L163" s="422"/>
      <c r="M163" s="422"/>
      <c r="N163" s="422"/>
      <c r="O163" s="422"/>
      <c r="P163" s="422"/>
      <c r="Q163" s="422"/>
      <c r="R163" s="424"/>
      <c r="S163" s="416"/>
      <c r="T163" s="416"/>
      <c r="U163" s="416"/>
      <c r="V163" s="417"/>
      <c r="W163" s="74"/>
      <c r="AA163" s="151"/>
      <c r="AB163" s="152"/>
      <c r="AC163" s="152"/>
      <c r="AD163" s="152"/>
      <c r="AE163" s="153"/>
      <c r="AF163" s="363"/>
      <c r="AG163" s="363"/>
      <c r="AH163" s="363"/>
      <c r="AI163" s="363"/>
      <c r="AJ163" s="363"/>
      <c r="AK163" s="363"/>
      <c r="AL163" s="363"/>
      <c r="AM163" s="364"/>
      <c r="AO163" s="76"/>
      <c r="AP163" s="85"/>
      <c r="AQ163" s="85"/>
      <c r="AR163" s="85"/>
      <c r="AS163" s="85"/>
      <c r="AT163" s="85"/>
      <c r="AU163" s="85"/>
    </row>
    <row r="164" spans="1:47" ht="15" customHeight="1" thickBot="1" x14ac:dyDescent="0.3">
      <c r="A164" s="68"/>
      <c r="B164" s="418" t="s">
        <v>29</v>
      </c>
      <c r="C164" s="419"/>
      <c r="D164" s="419"/>
      <c r="E164" s="419"/>
      <c r="F164" s="419"/>
      <c r="G164" s="419"/>
      <c r="H164" s="419"/>
      <c r="I164" s="420"/>
      <c r="J164" s="418" t="s">
        <v>30</v>
      </c>
      <c r="K164" s="419"/>
      <c r="L164" s="419"/>
      <c r="M164" s="419"/>
      <c r="N164" s="419"/>
      <c r="O164" s="419"/>
      <c r="P164" s="419"/>
      <c r="Q164" s="420"/>
      <c r="R164" s="418" t="s">
        <v>31</v>
      </c>
      <c r="S164" s="419"/>
      <c r="T164" s="419"/>
      <c r="U164" s="419"/>
      <c r="V164" s="420"/>
      <c r="W164" s="77"/>
      <c r="AO164" s="76"/>
      <c r="AP164" s="85"/>
      <c r="AQ164" s="85"/>
      <c r="AR164" s="85"/>
      <c r="AS164" s="85"/>
      <c r="AT164" s="85"/>
      <c r="AU164" s="85"/>
    </row>
    <row r="165" spans="1:47" s="76" customFormat="1" ht="10.5" customHeight="1" x14ac:dyDescent="0.25">
      <c r="A165" s="78"/>
      <c r="B165" s="373" t="s">
        <v>323</v>
      </c>
      <c r="C165" s="374"/>
      <c r="D165" s="374"/>
      <c r="E165" s="374"/>
      <c r="F165" s="374"/>
      <c r="G165" s="374"/>
      <c r="H165" s="374"/>
      <c r="I165" s="375"/>
      <c r="J165" s="327" t="s">
        <v>333</v>
      </c>
      <c r="K165" s="328"/>
      <c r="L165" s="328"/>
      <c r="M165" s="328"/>
      <c r="N165" s="328"/>
      <c r="O165" s="328"/>
      <c r="P165" s="328"/>
      <c r="Q165" s="329"/>
      <c r="R165" s="333" t="s">
        <v>327</v>
      </c>
      <c r="S165" s="334"/>
      <c r="T165" s="334"/>
      <c r="U165" s="334"/>
      <c r="V165" s="335"/>
      <c r="W165" s="79"/>
      <c r="AA165" s="80"/>
      <c r="AB165" s="81" t="s">
        <v>157</v>
      </c>
      <c r="AC165" s="81"/>
      <c r="AD165" s="81"/>
    </row>
    <row r="166" spans="1:47" s="76" customFormat="1" ht="16.5" customHeight="1" x14ac:dyDescent="0.25">
      <c r="A166" s="166" t="s">
        <v>192</v>
      </c>
      <c r="B166" s="353" t="s">
        <v>330</v>
      </c>
      <c r="C166" s="354"/>
      <c r="D166" s="354"/>
      <c r="E166" s="354"/>
      <c r="F166" s="354"/>
      <c r="G166" s="354"/>
      <c r="H166" s="354"/>
      <c r="I166" s="355"/>
      <c r="J166" s="330"/>
      <c r="K166" s="331"/>
      <c r="L166" s="331"/>
      <c r="M166" s="331"/>
      <c r="N166" s="331"/>
      <c r="O166" s="331"/>
      <c r="P166" s="331"/>
      <c r="Q166" s="332"/>
      <c r="R166" s="336"/>
      <c r="S166" s="337"/>
      <c r="T166" s="337"/>
      <c r="U166" s="337"/>
      <c r="V166" s="338"/>
      <c r="W166" s="167" t="s">
        <v>193</v>
      </c>
      <c r="AA166" s="83"/>
      <c r="AB166" s="365" t="s">
        <v>158</v>
      </c>
      <c r="AC166" s="366"/>
      <c r="AD166" s="366"/>
      <c r="AE166" s="366"/>
      <c r="AF166" s="366"/>
      <c r="AG166" s="366"/>
    </row>
    <row r="167" spans="1:47" s="76" customFormat="1" ht="10.5" customHeight="1" x14ac:dyDescent="0.25">
      <c r="A167" s="78"/>
      <c r="B167" s="291" t="s">
        <v>324</v>
      </c>
      <c r="C167" s="292"/>
      <c r="D167" s="292"/>
      <c r="E167" s="292"/>
      <c r="F167" s="292"/>
      <c r="G167" s="292"/>
      <c r="H167" s="292"/>
      <c r="I167" s="293"/>
      <c r="J167" s="356" t="s">
        <v>334</v>
      </c>
      <c r="K167" s="357"/>
      <c r="L167" s="357"/>
      <c r="M167" s="357"/>
      <c r="N167" s="357"/>
      <c r="O167" s="357"/>
      <c r="P167" s="357"/>
      <c r="Q167" s="358"/>
      <c r="R167" s="356" t="s">
        <v>328</v>
      </c>
      <c r="S167" s="357"/>
      <c r="T167" s="357"/>
      <c r="U167" s="357"/>
      <c r="V167" s="358"/>
      <c r="W167" s="82"/>
      <c r="AA167" s="83"/>
      <c r="AB167" s="365"/>
      <c r="AC167" s="366"/>
      <c r="AD167" s="366"/>
      <c r="AE167" s="366"/>
      <c r="AF167" s="366"/>
      <c r="AG167" s="366"/>
    </row>
    <row r="168" spans="1:47" s="76" customFormat="1" ht="15" customHeight="1" x14ac:dyDescent="0.25">
      <c r="A168" s="166" t="s">
        <v>192</v>
      </c>
      <c r="B168" s="353" t="s">
        <v>330</v>
      </c>
      <c r="C168" s="354"/>
      <c r="D168" s="354"/>
      <c r="E168" s="354"/>
      <c r="F168" s="354"/>
      <c r="G168" s="354"/>
      <c r="H168" s="354"/>
      <c r="I168" s="355"/>
      <c r="J168" s="356"/>
      <c r="K168" s="357"/>
      <c r="L168" s="357"/>
      <c r="M168" s="357"/>
      <c r="N168" s="357"/>
      <c r="O168" s="357"/>
      <c r="P168" s="357"/>
      <c r="Q168" s="358"/>
      <c r="R168" s="356"/>
      <c r="S168" s="357"/>
      <c r="T168" s="357"/>
      <c r="U168" s="357"/>
      <c r="V168" s="358"/>
      <c r="W168" s="82"/>
      <c r="AA168" s="84"/>
      <c r="AB168" s="367"/>
      <c r="AC168" s="366"/>
      <c r="AD168" s="366"/>
      <c r="AE168" s="366"/>
      <c r="AF168" s="366"/>
      <c r="AG168" s="366"/>
    </row>
    <row r="169" spans="1:47" s="76" customFormat="1" ht="15" customHeight="1" thickBot="1" x14ac:dyDescent="0.3">
      <c r="A169" s="78"/>
      <c r="B169" s="339" t="s">
        <v>197</v>
      </c>
      <c r="C169" s="340"/>
      <c r="D169" s="290">
        <v>33782919468</v>
      </c>
      <c r="E169" s="290"/>
      <c r="F169" s="290"/>
      <c r="G169" s="290"/>
      <c r="H169" s="196" t="s">
        <v>298</v>
      </c>
      <c r="I169" s="241" t="s">
        <v>310</v>
      </c>
      <c r="J169" s="356"/>
      <c r="K169" s="357"/>
      <c r="L169" s="357"/>
      <c r="M169" s="357"/>
      <c r="N169" s="357"/>
      <c r="O169" s="357"/>
      <c r="P169" s="357"/>
      <c r="Q169" s="358"/>
      <c r="R169" s="356" t="s">
        <v>329</v>
      </c>
      <c r="S169" s="357"/>
      <c r="T169" s="357"/>
      <c r="U169" s="357"/>
      <c r="V169" s="358"/>
      <c r="W169" s="82"/>
      <c r="AA169" s="80"/>
      <c r="AB169" s="366" t="s">
        <v>159</v>
      </c>
      <c r="AC169" s="366"/>
      <c r="AD169" s="366"/>
      <c r="AE169" s="366"/>
      <c r="AF169" s="366"/>
      <c r="AG169" s="366"/>
    </row>
    <row r="170" spans="1:47" s="76" customFormat="1" ht="15" customHeight="1" thickBot="1" x14ac:dyDescent="0.3">
      <c r="A170" s="78"/>
      <c r="B170" s="440" t="s">
        <v>322</v>
      </c>
      <c r="C170" s="441"/>
      <c r="D170" s="441"/>
      <c r="E170" s="441"/>
      <c r="F170" s="441"/>
      <c r="G170" s="442"/>
      <c r="H170" s="442"/>
      <c r="I170" s="443"/>
      <c r="J170" s="356"/>
      <c r="K170" s="357"/>
      <c r="L170" s="357"/>
      <c r="M170" s="357"/>
      <c r="N170" s="357"/>
      <c r="O170" s="357"/>
      <c r="P170" s="357"/>
      <c r="Q170" s="358"/>
      <c r="R170" s="356"/>
      <c r="S170" s="357"/>
      <c r="T170" s="357"/>
      <c r="U170" s="357"/>
      <c r="V170" s="358"/>
      <c r="W170" s="82"/>
      <c r="AA170" s="80"/>
      <c r="AB170" s="366"/>
      <c r="AC170" s="366"/>
      <c r="AD170" s="366"/>
      <c r="AE170" s="366"/>
      <c r="AF170" s="366"/>
      <c r="AG170" s="366"/>
    </row>
    <row r="171" spans="1:47" s="76" customFormat="1" ht="13.15" customHeight="1" x14ac:dyDescent="0.25">
      <c r="A171" s="78"/>
      <c r="B171" s="428" t="s">
        <v>32</v>
      </c>
      <c r="C171" s="429"/>
      <c r="D171" s="429"/>
      <c r="E171" s="429"/>
      <c r="F171" s="429"/>
      <c r="G171" s="429"/>
      <c r="H171" s="429"/>
      <c r="I171" s="430"/>
      <c r="J171" s="356"/>
      <c r="K171" s="357"/>
      <c r="L171" s="357"/>
      <c r="M171" s="357"/>
      <c r="N171" s="357"/>
      <c r="O171" s="357"/>
      <c r="P171" s="357"/>
      <c r="Q171" s="358"/>
      <c r="R171" s="356"/>
      <c r="S171" s="357"/>
      <c r="T171" s="357"/>
      <c r="U171" s="357"/>
      <c r="V171" s="358"/>
      <c r="W171" s="82"/>
      <c r="AA171" s="71"/>
      <c r="AB171" s="366"/>
      <c r="AC171" s="366"/>
      <c r="AD171" s="366"/>
      <c r="AE171" s="366"/>
      <c r="AF171" s="366"/>
      <c r="AG171" s="366"/>
    </row>
    <row r="172" spans="1:47" s="76" customFormat="1" ht="13.15" customHeight="1" x14ac:dyDescent="0.25">
      <c r="A172" s="166" t="s">
        <v>192</v>
      </c>
      <c r="B172" s="431" t="s">
        <v>339</v>
      </c>
      <c r="C172" s="432"/>
      <c r="D172" s="432"/>
      <c r="E172" s="432"/>
      <c r="F172" s="432"/>
      <c r="G172" s="432"/>
      <c r="H172" s="432"/>
      <c r="I172" s="433"/>
      <c r="J172" s="356"/>
      <c r="K172" s="357"/>
      <c r="L172" s="357"/>
      <c r="M172" s="357"/>
      <c r="N172" s="357"/>
      <c r="O172" s="357"/>
      <c r="P172" s="357"/>
      <c r="Q172" s="358"/>
      <c r="R172" s="356"/>
      <c r="S172" s="357"/>
      <c r="T172" s="357"/>
      <c r="U172" s="357"/>
      <c r="V172" s="358"/>
      <c r="W172" s="82"/>
      <c r="AA172" s="6"/>
      <c r="AB172" s="366"/>
      <c r="AC172" s="366"/>
      <c r="AD172" s="366"/>
      <c r="AE172" s="366"/>
      <c r="AF172" s="366"/>
      <c r="AG172" s="366"/>
    </row>
    <row r="173" spans="1:47" ht="13.15" customHeight="1" thickBot="1" x14ac:dyDescent="0.3">
      <c r="A173" s="68"/>
      <c r="B173" s="434"/>
      <c r="C173" s="435"/>
      <c r="D173" s="435"/>
      <c r="E173" s="435"/>
      <c r="F173" s="435"/>
      <c r="G173" s="435"/>
      <c r="H173" s="435"/>
      <c r="I173" s="436"/>
      <c r="J173" s="437"/>
      <c r="K173" s="438"/>
      <c r="L173" s="438"/>
      <c r="M173" s="438"/>
      <c r="N173" s="438"/>
      <c r="O173" s="438"/>
      <c r="P173" s="438"/>
      <c r="Q173" s="439"/>
      <c r="R173" s="437"/>
      <c r="S173" s="438"/>
      <c r="T173" s="438"/>
      <c r="U173" s="438"/>
      <c r="V173" s="439"/>
      <c r="W173" s="82"/>
      <c r="AB173" s="366"/>
      <c r="AC173" s="366"/>
      <c r="AD173" s="366"/>
      <c r="AE173" s="366"/>
      <c r="AF173" s="366"/>
      <c r="AG173" s="366"/>
    </row>
    <row r="174" spans="1:47" ht="12.75" customHeight="1" thickBot="1" x14ac:dyDescent="0.3">
      <c r="A174" s="68"/>
      <c r="B174" s="368" t="str">
        <f>VLOOKUP($AB$176,$I$143:$I$156,1,FALSE)</f>
        <v>POSTE | POSTE MAF | ETUDES LIAISONS | TRVX LA | TRVX LS | F.O. | CABLIERS | F.S. | SPS | AUTRES :</v>
      </c>
      <c r="C174" s="369"/>
      <c r="D174" s="369"/>
      <c r="E174" s="369"/>
      <c r="F174" s="369"/>
      <c r="G174" s="369"/>
      <c r="H174" s="369"/>
      <c r="I174" s="369"/>
      <c r="J174" s="369"/>
      <c r="K174" s="369"/>
      <c r="L174" s="369"/>
      <c r="M174" s="369"/>
      <c r="N174" s="369"/>
      <c r="O174" s="369"/>
      <c r="P174" s="369"/>
      <c r="Q174" s="369"/>
      <c r="R174" s="444"/>
      <c r="S174" s="444"/>
      <c r="T174" s="444"/>
      <c r="U174" s="444"/>
      <c r="V174" s="445"/>
      <c r="W174" s="68"/>
      <c r="AA174" s="80"/>
      <c r="AB174" s="366"/>
      <c r="AC174" s="366"/>
      <c r="AD174" s="366"/>
      <c r="AE174" s="366"/>
      <c r="AF174" s="366"/>
      <c r="AG174" s="366"/>
    </row>
    <row r="175" spans="1:47" ht="15" customHeight="1" x14ac:dyDescent="0.25">
      <c r="A175" s="68"/>
      <c r="B175" s="317">
        <v>10</v>
      </c>
      <c r="C175" s="318"/>
      <c r="D175" s="446" t="s">
        <v>331</v>
      </c>
      <c r="E175" s="447"/>
      <c r="F175" s="448"/>
      <c r="G175" s="448"/>
      <c r="H175" s="448"/>
      <c r="I175" s="448"/>
      <c r="J175" s="448"/>
      <c r="K175" s="448"/>
      <c r="L175" s="448"/>
      <c r="M175" s="448"/>
      <c r="N175" s="448"/>
      <c r="O175" s="448"/>
      <c r="P175" s="450" t="s">
        <v>33</v>
      </c>
      <c r="Q175" s="450"/>
      <c r="R175" s="450" t="s">
        <v>35</v>
      </c>
      <c r="S175" s="450"/>
      <c r="T175" s="450" t="s">
        <v>319</v>
      </c>
      <c r="U175" s="450"/>
      <c r="V175" s="451"/>
      <c r="W175" s="86"/>
      <c r="AA175" s="161"/>
      <c r="AB175" s="158"/>
      <c r="AC175" s="158"/>
      <c r="AD175" s="158"/>
      <c r="AE175" s="159"/>
      <c r="AF175" s="159"/>
      <c r="AG175" s="456" t="s">
        <v>185</v>
      </c>
      <c r="AH175" s="457"/>
      <c r="AI175" s="457"/>
      <c r="AJ175" s="457"/>
      <c r="AK175" s="457"/>
      <c r="AL175" s="457"/>
      <c r="AM175" s="458"/>
    </row>
    <row r="176" spans="1:47" ht="15" customHeight="1" x14ac:dyDescent="0.25">
      <c r="A176" s="68"/>
      <c r="B176" s="319"/>
      <c r="C176" s="320"/>
      <c r="D176" s="449"/>
      <c r="E176" s="449"/>
      <c r="F176" s="449"/>
      <c r="G176" s="449"/>
      <c r="H176" s="449"/>
      <c r="I176" s="449"/>
      <c r="J176" s="449"/>
      <c r="K176" s="449"/>
      <c r="L176" s="449"/>
      <c r="M176" s="449"/>
      <c r="N176" s="449"/>
      <c r="O176" s="449"/>
      <c r="P176" s="407">
        <v>45747</v>
      </c>
      <c r="Q176" s="452"/>
      <c r="R176" s="453">
        <v>1</v>
      </c>
      <c r="S176" s="453"/>
      <c r="T176" s="454">
        <v>20000</v>
      </c>
      <c r="U176" s="454"/>
      <c r="V176" s="455"/>
      <c r="W176" s="86"/>
      <c r="AA176" s="145"/>
      <c r="AB176" s="370" t="s">
        <v>34</v>
      </c>
      <c r="AC176" s="371"/>
      <c r="AD176" s="371"/>
      <c r="AE176" s="372"/>
      <c r="AF176" s="146"/>
      <c r="AG176" s="459"/>
      <c r="AH176" s="459"/>
      <c r="AI176" s="459"/>
      <c r="AJ176" s="459"/>
      <c r="AK176" s="459"/>
      <c r="AL176" s="459"/>
      <c r="AM176" s="460"/>
    </row>
    <row r="177" spans="1:40" ht="15" customHeight="1" x14ac:dyDescent="0.25">
      <c r="A177" s="68"/>
      <c r="B177" s="321"/>
      <c r="C177" s="322"/>
      <c r="D177" s="449"/>
      <c r="E177" s="449"/>
      <c r="F177" s="449"/>
      <c r="G177" s="449"/>
      <c r="H177" s="449"/>
      <c r="I177" s="449"/>
      <c r="J177" s="449"/>
      <c r="K177" s="449"/>
      <c r="L177" s="449"/>
      <c r="M177" s="449"/>
      <c r="N177" s="449"/>
      <c r="O177" s="449"/>
      <c r="P177" s="452"/>
      <c r="Q177" s="452"/>
      <c r="R177" s="453"/>
      <c r="S177" s="453"/>
      <c r="T177" s="454"/>
      <c r="U177" s="454"/>
      <c r="V177" s="455"/>
      <c r="W177" s="87"/>
      <c r="AA177" s="145"/>
      <c r="AB177" s="160"/>
      <c r="AC177" s="160"/>
      <c r="AD177" s="160"/>
      <c r="AE177" s="146"/>
      <c r="AF177" s="146"/>
      <c r="AG177" s="459"/>
      <c r="AH177" s="459"/>
      <c r="AI177" s="459"/>
      <c r="AJ177" s="459"/>
      <c r="AK177" s="459"/>
      <c r="AL177" s="459"/>
      <c r="AM177" s="460"/>
    </row>
    <row r="178" spans="1:40" ht="15" customHeight="1" x14ac:dyDescent="0.25">
      <c r="A178" s="68"/>
      <c r="B178" s="313" t="s">
        <v>36</v>
      </c>
      <c r="C178" s="314"/>
      <c r="D178" s="463" t="s">
        <v>338</v>
      </c>
      <c r="E178" s="463"/>
      <c r="F178" s="463"/>
      <c r="G178" s="463"/>
      <c r="H178" s="463"/>
      <c r="I178" s="463"/>
      <c r="J178" s="463"/>
      <c r="K178" s="463"/>
      <c r="L178" s="463"/>
      <c r="M178" s="463"/>
      <c r="N178" s="463"/>
      <c r="O178" s="463"/>
      <c r="P178" s="463"/>
      <c r="Q178" s="463"/>
      <c r="R178" s="465" t="s">
        <v>320</v>
      </c>
      <c r="S178" s="465"/>
      <c r="T178" s="467">
        <f>R176*T176</f>
        <v>20000</v>
      </c>
      <c r="U178" s="467"/>
      <c r="V178" s="468"/>
      <c r="W178" s="86"/>
      <c r="AA178" s="151"/>
      <c r="AB178" s="152"/>
      <c r="AC178" s="152"/>
      <c r="AD178" s="152"/>
      <c r="AE178" s="153"/>
      <c r="AF178" s="153"/>
      <c r="AG178" s="461"/>
      <c r="AH178" s="461"/>
      <c r="AI178" s="461"/>
      <c r="AJ178" s="461"/>
      <c r="AK178" s="461"/>
      <c r="AL178" s="461"/>
      <c r="AM178" s="462"/>
    </row>
    <row r="179" spans="1:40" ht="15" customHeight="1" thickBot="1" x14ac:dyDescent="0.3">
      <c r="A179" s="68"/>
      <c r="B179" s="315"/>
      <c r="C179" s="316"/>
      <c r="D179" s="464"/>
      <c r="E179" s="464"/>
      <c r="F179" s="464"/>
      <c r="G179" s="464"/>
      <c r="H179" s="464"/>
      <c r="I179" s="464"/>
      <c r="J179" s="464"/>
      <c r="K179" s="464"/>
      <c r="L179" s="464"/>
      <c r="M179" s="464"/>
      <c r="N179" s="464"/>
      <c r="O179" s="464"/>
      <c r="P179" s="464"/>
      <c r="Q179" s="464"/>
      <c r="R179" s="466"/>
      <c r="S179" s="466"/>
      <c r="T179" s="469"/>
      <c r="U179" s="469"/>
      <c r="V179" s="470"/>
      <c r="W179" s="89"/>
    </row>
    <row r="180" spans="1:40" ht="15" customHeight="1" x14ac:dyDescent="0.25">
      <c r="A180" s="68"/>
      <c r="B180" s="307">
        <v>20</v>
      </c>
      <c r="C180" s="308"/>
      <c r="D180" s="447" t="s">
        <v>332</v>
      </c>
      <c r="E180" s="447"/>
      <c r="F180" s="447"/>
      <c r="G180" s="447"/>
      <c r="H180" s="447"/>
      <c r="I180" s="447"/>
      <c r="J180" s="447"/>
      <c r="K180" s="447"/>
      <c r="L180" s="447"/>
      <c r="M180" s="447"/>
      <c r="N180" s="447"/>
      <c r="O180" s="447"/>
      <c r="P180" s="472" t="s">
        <v>33</v>
      </c>
      <c r="Q180" s="472"/>
      <c r="R180" s="472" t="s">
        <v>35</v>
      </c>
      <c r="S180" s="472"/>
      <c r="T180" s="404" t="s">
        <v>319</v>
      </c>
      <c r="U180" s="405"/>
      <c r="V180" s="406"/>
      <c r="W180" s="90"/>
      <c r="AA180" s="347" t="s">
        <v>297</v>
      </c>
      <c r="AB180" s="348"/>
      <c r="AC180" s="348"/>
      <c r="AD180" s="348"/>
      <c r="AE180" s="348"/>
      <c r="AF180" s="348"/>
      <c r="AG180" s="348"/>
      <c r="AH180" s="348"/>
      <c r="AI180" s="348"/>
      <c r="AJ180" s="348"/>
      <c r="AK180" s="348"/>
      <c r="AL180" s="349"/>
    </row>
    <row r="181" spans="1:40" ht="15" customHeight="1" x14ac:dyDescent="0.25">
      <c r="A181" s="68"/>
      <c r="B181" s="309"/>
      <c r="C181" s="310"/>
      <c r="D181" s="471"/>
      <c r="E181" s="471"/>
      <c r="F181" s="471"/>
      <c r="G181" s="471"/>
      <c r="H181" s="471"/>
      <c r="I181" s="471"/>
      <c r="J181" s="471"/>
      <c r="K181" s="471"/>
      <c r="L181" s="471"/>
      <c r="M181" s="471"/>
      <c r="N181" s="471"/>
      <c r="O181" s="471"/>
      <c r="P181" s="407">
        <v>46173</v>
      </c>
      <c r="Q181" s="407"/>
      <c r="R181" s="453">
        <v>1</v>
      </c>
      <c r="S181" s="453"/>
      <c r="T181" s="454">
        <v>10000</v>
      </c>
      <c r="U181" s="454"/>
      <c r="V181" s="455"/>
      <c r="W181" s="90"/>
      <c r="AA181" s="350"/>
      <c r="AB181" s="351"/>
      <c r="AC181" s="351"/>
      <c r="AD181" s="351"/>
      <c r="AE181" s="351"/>
      <c r="AF181" s="351"/>
      <c r="AG181" s="351"/>
      <c r="AH181" s="351"/>
      <c r="AI181" s="351"/>
      <c r="AJ181" s="351"/>
      <c r="AK181" s="351"/>
      <c r="AL181" s="352"/>
    </row>
    <row r="182" spans="1:40" ht="15" customHeight="1" x14ac:dyDescent="0.25">
      <c r="A182" s="68"/>
      <c r="B182" s="311"/>
      <c r="C182" s="312"/>
      <c r="D182" s="471"/>
      <c r="E182" s="471"/>
      <c r="F182" s="471"/>
      <c r="G182" s="471"/>
      <c r="H182" s="471"/>
      <c r="I182" s="471"/>
      <c r="J182" s="471"/>
      <c r="K182" s="471"/>
      <c r="L182" s="471"/>
      <c r="M182" s="471"/>
      <c r="N182" s="471"/>
      <c r="O182" s="471"/>
      <c r="P182" s="407"/>
      <c r="Q182" s="407"/>
      <c r="R182" s="453"/>
      <c r="S182" s="453"/>
      <c r="T182" s="454"/>
      <c r="U182" s="454"/>
      <c r="V182" s="455"/>
      <c r="W182" s="87"/>
      <c r="AN182" s="132"/>
    </row>
    <row r="183" spans="1:40" ht="15" customHeight="1" x14ac:dyDescent="0.25">
      <c r="A183" s="68"/>
      <c r="B183" s="323" t="s">
        <v>36</v>
      </c>
      <c r="C183" s="324"/>
      <c r="D183" s="463" t="s">
        <v>338</v>
      </c>
      <c r="E183" s="463"/>
      <c r="F183" s="463"/>
      <c r="G183" s="463"/>
      <c r="H183" s="463"/>
      <c r="I183" s="463"/>
      <c r="J183" s="463"/>
      <c r="K183" s="463"/>
      <c r="L183" s="463"/>
      <c r="M183" s="463"/>
      <c r="N183" s="463"/>
      <c r="O183" s="463"/>
      <c r="P183" s="463"/>
      <c r="Q183" s="463"/>
      <c r="R183" s="473" t="s">
        <v>320</v>
      </c>
      <c r="S183" s="473"/>
      <c r="T183" s="467">
        <f>R181*T181</f>
        <v>10000</v>
      </c>
      <c r="U183" s="467"/>
      <c r="V183" s="468"/>
      <c r="W183" s="90"/>
      <c r="AA183" s="80"/>
      <c r="AN183" s="85"/>
    </row>
    <row r="184" spans="1:40" ht="15" customHeight="1" thickBot="1" x14ac:dyDescent="0.3">
      <c r="A184" s="68"/>
      <c r="B184" s="325"/>
      <c r="C184" s="326"/>
      <c r="D184" s="464"/>
      <c r="E184" s="464"/>
      <c r="F184" s="464"/>
      <c r="G184" s="464"/>
      <c r="H184" s="464"/>
      <c r="I184" s="464"/>
      <c r="J184" s="464"/>
      <c r="K184" s="464"/>
      <c r="L184" s="464"/>
      <c r="M184" s="464"/>
      <c r="N184" s="464"/>
      <c r="O184" s="464"/>
      <c r="P184" s="464"/>
      <c r="Q184" s="464"/>
      <c r="R184" s="474"/>
      <c r="S184" s="474"/>
      <c r="T184" s="469"/>
      <c r="U184" s="469"/>
      <c r="V184" s="470"/>
      <c r="W184" s="89"/>
      <c r="AA184" s="144"/>
      <c r="AB184" s="456" t="s">
        <v>182</v>
      </c>
      <c r="AC184" s="456"/>
      <c r="AD184" s="456"/>
      <c r="AE184" s="456"/>
      <c r="AF184" s="456"/>
      <c r="AG184" s="456"/>
      <c r="AH184" s="456"/>
      <c r="AI184" s="456"/>
      <c r="AJ184" s="456"/>
      <c r="AK184" s="456"/>
      <c r="AL184" s="456"/>
      <c r="AM184" s="555"/>
    </row>
    <row r="185" spans="1:40" ht="15" customHeight="1" x14ac:dyDescent="0.25">
      <c r="A185" s="68"/>
      <c r="B185" s="317">
        <v>30</v>
      </c>
      <c r="C185" s="318"/>
      <c r="D185" s="447"/>
      <c r="E185" s="447"/>
      <c r="F185" s="447"/>
      <c r="G185" s="447"/>
      <c r="H185" s="447"/>
      <c r="I185" s="447"/>
      <c r="J185" s="447"/>
      <c r="K185" s="447"/>
      <c r="L185" s="447"/>
      <c r="M185" s="447"/>
      <c r="N185" s="447"/>
      <c r="O185" s="447"/>
      <c r="P185" s="450" t="s">
        <v>33</v>
      </c>
      <c r="Q185" s="450"/>
      <c r="R185" s="450" t="s">
        <v>35</v>
      </c>
      <c r="S185" s="450"/>
      <c r="T185" s="450" t="s">
        <v>319</v>
      </c>
      <c r="U185" s="450"/>
      <c r="V185" s="451"/>
      <c r="W185" s="86"/>
      <c r="AA185" s="145"/>
      <c r="AB185" s="556"/>
      <c r="AC185" s="556"/>
      <c r="AD185" s="556"/>
      <c r="AE185" s="556"/>
      <c r="AF185" s="556"/>
      <c r="AG185" s="556"/>
      <c r="AH185" s="556"/>
      <c r="AI185" s="556"/>
      <c r="AJ185" s="556"/>
      <c r="AK185" s="556"/>
      <c r="AL185" s="556"/>
      <c r="AM185" s="557"/>
    </row>
    <row r="186" spans="1:40" ht="15" customHeight="1" x14ac:dyDescent="0.25">
      <c r="A186" s="68"/>
      <c r="B186" s="319"/>
      <c r="C186" s="320"/>
      <c r="D186" s="471"/>
      <c r="E186" s="471"/>
      <c r="F186" s="471"/>
      <c r="G186" s="471"/>
      <c r="H186" s="471"/>
      <c r="I186" s="471"/>
      <c r="J186" s="471"/>
      <c r="K186" s="471"/>
      <c r="L186" s="471"/>
      <c r="M186" s="471"/>
      <c r="N186" s="471"/>
      <c r="O186" s="471"/>
      <c r="P186" s="407"/>
      <c r="Q186" s="407"/>
      <c r="R186" s="453"/>
      <c r="S186" s="453"/>
      <c r="T186" s="454"/>
      <c r="U186" s="454"/>
      <c r="V186" s="455"/>
      <c r="W186" s="86"/>
      <c r="AA186" s="145"/>
      <c r="AB186" s="580" t="s">
        <v>180</v>
      </c>
      <c r="AC186" s="581"/>
      <c r="AD186" s="581"/>
      <c r="AE186" s="582"/>
      <c r="AF186" s="156"/>
      <c r="AG186" s="571" t="s">
        <v>180</v>
      </c>
      <c r="AH186" s="571"/>
      <c r="AI186" s="571"/>
      <c r="AJ186" s="571"/>
      <c r="AK186" s="571"/>
      <c r="AL186" s="156"/>
      <c r="AM186" s="148"/>
    </row>
    <row r="187" spans="1:40" ht="15" customHeight="1" x14ac:dyDescent="0.25">
      <c r="A187" s="68"/>
      <c r="B187" s="321"/>
      <c r="C187" s="322"/>
      <c r="D187" s="471"/>
      <c r="E187" s="471"/>
      <c r="F187" s="471"/>
      <c r="G187" s="471"/>
      <c r="H187" s="471"/>
      <c r="I187" s="471"/>
      <c r="J187" s="471"/>
      <c r="K187" s="471"/>
      <c r="L187" s="471"/>
      <c r="M187" s="471"/>
      <c r="N187" s="471"/>
      <c r="O187" s="471"/>
      <c r="P187" s="407"/>
      <c r="Q187" s="407"/>
      <c r="R187" s="453"/>
      <c r="S187" s="453"/>
      <c r="T187" s="454"/>
      <c r="U187" s="454"/>
      <c r="V187" s="455"/>
      <c r="W187" s="87"/>
      <c r="AA187" s="145"/>
      <c r="AB187" s="583"/>
      <c r="AC187" s="584"/>
      <c r="AD187" s="584"/>
      <c r="AE187" s="585"/>
      <c r="AF187" s="156"/>
      <c r="AG187" s="571" t="s">
        <v>179</v>
      </c>
      <c r="AH187" s="571"/>
      <c r="AI187" s="571"/>
      <c r="AJ187" s="571"/>
      <c r="AK187" s="571"/>
      <c r="AL187" s="156"/>
      <c r="AM187" s="148"/>
    </row>
    <row r="188" spans="1:40" ht="15" customHeight="1" x14ac:dyDescent="0.25">
      <c r="A188" s="68"/>
      <c r="B188" s="313" t="s">
        <v>36</v>
      </c>
      <c r="C188" s="314"/>
      <c r="D188" s="463"/>
      <c r="E188" s="463"/>
      <c r="F188" s="463"/>
      <c r="G188" s="463"/>
      <c r="H188" s="463"/>
      <c r="I188" s="463"/>
      <c r="J188" s="463"/>
      <c r="K188" s="463"/>
      <c r="L188" s="463"/>
      <c r="M188" s="463"/>
      <c r="N188" s="463"/>
      <c r="O188" s="463"/>
      <c r="P188" s="463"/>
      <c r="Q188" s="463"/>
      <c r="R188" s="465" t="s">
        <v>320</v>
      </c>
      <c r="S188" s="465"/>
      <c r="T188" s="467">
        <f>R186*T186</f>
        <v>0</v>
      </c>
      <c r="U188" s="467"/>
      <c r="V188" s="468"/>
      <c r="W188" s="86"/>
      <c r="AA188" s="145"/>
      <c r="AB188" s="146"/>
      <c r="AC188" s="146"/>
      <c r="AD188" s="146"/>
      <c r="AE188" s="146"/>
      <c r="AF188" s="156"/>
      <c r="AG188" s="149"/>
      <c r="AH188" s="149"/>
      <c r="AI188" s="149"/>
      <c r="AJ188" s="149"/>
      <c r="AK188" s="156"/>
      <c r="AL188" s="156"/>
      <c r="AM188" s="147"/>
    </row>
    <row r="189" spans="1:40" ht="15" customHeight="1" thickBot="1" x14ac:dyDescent="0.3">
      <c r="A189" s="68"/>
      <c r="B189" s="315"/>
      <c r="C189" s="316"/>
      <c r="D189" s="464"/>
      <c r="E189" s="464"/>
      <c r="F189" s="464"/>
      <c r="G189" s="464"/>
      <c r="H189" s="464"/>
      <c r="I189" s="464"/>
      <c r="J189" s="464"/>
      <c r="K189" s="464"/>
      <c r="L189" s="464"/>
      <c r="M189" s="464"/>
      <c r="N189" s="464"/>
      <c r="O189" s="464"/>
      <c r="P189" s="464"/>
      <c r="Q189" s="464"/>
      <c r="R189" s="466"/>
      <c r="S189" s="466"/>
      <c r="T189" s="469"/>
      <c r="U189" s="469"/>
      <c r="V189" s="470"/>
      <c r="W189" s="89"/>
      <c r="AA189" s="145"/>
      <c r="AB189" s="574" t="s">
        <v>181</v>
      </c>
      <c r="AC189" s="575"/>
      <c r="AD189" s="575"/>
      <c r="AE189" s="576"/>
      <c r="AF189" s="156"/>
      <c r="AG189" s="572" t="s">
        <v>181</v>
      </c>
      <c r="AH189" s="572"/>
      <c r="AI189" s="572"/>
      <c r="AJ189" s="572"/>
      <c r="AK189" s="572"/>
      <c r="AL189" s="156"/>
      <c r="AM189" s="150"/>
    </row>
    <row r="190" spans="1:40" ht="15" customHeight="1" x14ac:dyDescent="0.25">
      <c r="A190" s="68"/>
      <c r="B190" s="307">
        <v>40</v>
      </c>
      <c r="C190" s="308"/>
      <c r="D190" s="447"/>
      <c r="E190" s="447"/>
      <c r="F190" s="447"/>
      <c r="G190" s="447"/>
      <c r="H190" s="447"/>
      <c r="I190" s="447"/>
      <c r="J190" s="447"/>
      <c r="K190" s="447"/>
      <c r="L190" s="447"/>
      <c r="M190" s="447"/>
      <c r="N190" s="447"/>
      <c r="O190" s="447"/>
      <c r="P190" s="472" t="s">
        <v>33</v>
      </c>
      <c r="Q190" s="472"/>
      <c r="R190" s="472" t="s">
        <v>35</v>
      </c>
      <c r="S190" s="472"/>
      <c r="T190" s="404" t="s">
        <v>319</v>
      </c>
      <c r="U190" s="405"/>
      <c r="V190" s="406"/>
      <c r="W190" s="90"/>
      <c r="AA190" s="145"/>
      <c r="AB190" s="577"/>
      <c r="AC190" s="578"/>
      <c r="AD190" s="578"/>
      <c r="AE190" s="579"/>
      <c r="AF190" s="156"/>
      <c r="AG190" s="572" t="s">
        <v>178</v>
      </c>
      <c r="AH190" s="572"/>
      <c r="AI190" s="572"/>
      <c r="AJ190" s="572"/>
      <c r="AK190" s="572"/>
      <c r="AL190" s="156"/>
      <c r="AM190" s="148"/>
    </row>
    <row r="191" spans="1:40" ht="15" customHeight="1" x14ac:dyDescent="0.25">
      <c r="A191" s="68"/>
      <c r="B191" s="309"/>
      <c r="C191" s="310"/>
      <c r="D191" s="471"/>
      <c r="E191" s="471"/>
      <c r="F191" s="471"/>
      <c r="G191" s="471"/>
      <c r="H191" s="471"/>
      <c r="I191" s="471"/>
      <c r="J191" s="471"/>
      <c r="K191" s="471"/>
      <c r="L191" s="471"/>
      <c r="M191" s="471"/>
      <c r="N191" s="471"/>
      <c r="O191" s="471"/>
      <c r="P191" s="407"/>
      <c r="Q191" s="407"/>
      <c r="R191" s="453"/>
      <c r="S191" s="453"/>
      <c r="T191" s="454"/>
      <c r="U191" s="454"/>
      <c r="V191" s="455"/>
      <c r="W191" s="90"/>
      <c r="AA191" s="151"/>
      <c r="AB191" s="152"/>
      <c r="AC191" s="152"/>
      <c r="AD191" s="152"/>
      <c r="AE191" s="153"/>
      <c r="AF191" s="153"/>
      <c r="AG191" s="153"/>
      <c r="AH191" s="153"/>
      <c r="AI191" s="153"/>
      <c r="AJ191" s="153"/>
      <c r="AK191" s="154"/>
      <c r="AL191" s="153"/>
      <c r="AM191" s="155"/>
    </row>
    <row r="192" spans="1:40" ht="15" customHeight="1" x14ac:dyDescent="0.25">
      <c r="A192" s="68"/>
      <c r="B192" s="311"/>
      <c r="C192" s="312"/>
      <c r="D192" s="471"/>
      <c r="E192" s="471"/>
      <c r="F192" s="471"/>
      <c r="G192" s="471"/>
      <c r="H192" s="471"/>
      <c r="I192" s="471"/>
      <c r="J192" s="471"/>
      <c r="K192" s="471"/>
      <c r="L192" s="471"/>
      <c r="M192" s="471"/>
      <c r="N192" s="471"/>
      <c r="O192" s="471"/>
      <c r="P192" s="407"/>
      <c r="Q192" s="407"/>
      <c r="R192" s="453"/>
      <c r="S192" s="453"/>
      <c r="T192" s="454"/>
      <c r="U192" s="454"/>
      <c r="V192" s="455"/>
      <c r="W192" s="87"/>
    </row>
    <row r="193" spans="1:33" ht="15" customHeight="1" x14ac:dyDescent="0.25">
      <c r="A193" s="68"/>
      <c r="B193" s="323" t="s">
        <v>36</v>
      </c>
      <c r="C193" s="324"/>
      <c r="D193" s="463"/>
      <c r="E193" s="463"/>
      <c r="F193" s="463"/>
      <c r="G193" s="463"/>
      <c r="H193" s="463"/>
      <c r="I193" s="463"/>
      <c r="J193" s="463"/>
      <c r="K193" s="463"/>
      <c r="L193" s="463"/>
      <c r="M193" s="463"/>
      <c r="N193" s="463"/>
      <c r="O193" s="463"/>
      <c r="P193" s="463"/>
      <c r="Q193" s="463"/>
      <c r="R193" s="473" t="s">
        <v>320</v>
      </c>
      <c r="S193" s="473"/>
      <c r="T193" s="467">
        <f>R191*T191</f>
        <v>0</v>
      </c>
      <c r="U193" s="467"/>
      <c r="V193" s="468"/>
      <c r="W193" s="90"/>
      <c r="AA193" s="88"/>
      <c r="AB193" s="573" t="s">
        <v>177</v>
      </c>
      <c r="AC193" s="573"/>
      <c r="AD193" s="573"/>
      <c r="AE193" s="573"/>
      <c r="AF193" s="573"/>
      <c r="AG193" s="573"/>
    </row>
    <row r="194" spans="1:33" ht="15" customHeight="1" thickBot="1" x14ac:dyDescent="0.3">
      <c r="A194" s="68"/>
      <c r="B194" s="325"/>
      <c r="C194" s="326"/>
      <c r="D194" s="464"/>
      <c r="E194" s="464"/>
      <c r="F194" s="464"/>
      <c r="G194" s="464"/>
      <c r="H194" s="464"/>
      <c r="I194" s="464"/>
      <c r="J194" s="464"/>
      <c r="K194" s="464"/>
      <c r="L194" s="464"/>
      <c r="M194" s="464"/>
      <c r="N194" s="464"/>
      <c r="O194" s="464"/>
      <c r="P194" s="464"/>
      <c r="Q194" s="464"/>
      <c r="R194" s="474"/>
      <c r="S194" s="474"/>
      <c r="T194" s="469"/>
      <c r="U194" s="469"/>
      <c r="V194" s="470"/>
      <c r="W194" s="89"/>
      <c r="AA194" s="71"/>
      <c r="AB194" s="573"/>
      <c r="AC194" s="573"/>
      <c r="AD194" s="573"/>
      <c r="AE194" s="573"/>
      <c r="AF194" s="573"/>
      <c r="AG194" s="573"/>
    </row>
    <row r="195" spans="1:33" ht="15" customHeight="1" x14ac:dyDescent="0.25">
      <c r="A195" s="68"/>
      <c r="B195" s="317">
        <v>50</v>
      </c>
      <c r="C195" s="318"/>
      <c r="D195" s="447"/>
      <c r="E195" s="447"/>
      <c r="F195" s="447"/>
      <c r="G195" s="447"/>
      <c r="H195" s="447"/>
      <c r="I195" s="447"/>
      <c r="J195" s="447"/>
      <c r="K195" s="447"/>
      <c r="L195" s="447"/>
      <c r="M195" s="447"/>
      <c r="N195" s="447"/>
      <c r="O195" s="447"/>
      <c r="P195" s="450" t="s">
        <v>33</v>
      </c>
      <c r="Q195" s="450"/>
      <c r="R195" s="450" t="s">
        <v>35</v>
      </c>
      <c r="S195" s="450"/>
      <c r="T195" s="450" t="s">
        <v>319</v>
      </c>
      <c r="U195" s="450"/>
      <c r="V195" s="451"/>
      <c r="W195" s="86"/>
      <c r="AA195" s="71"/>
      <c r="AB195" s="573"/>
      <c r="AC195" s="573"/>
      <c r="AD195" s="573"/>
      <c r="AE195" s="573"/>
      <c r="AF195" s="573"/>
      <c r="AG195" s="573"/>
    </row>
    <row r="196" spans="1:33" ht="15" customHeight="1" x14ac:dyDescent="0.25">
      <c r="A196" s="68"/>
      <c r="B196" s="319"/>
      <c r="C196" s="320"/>
      <c r="D196" s="471"/>
      <c r="E196" s="471"/>
      <c r="F196" s="471"/>
      <c r="G196" s="471"/>
      <c r="H196" s="471"/>
      <c r="I196" s="471"/>
      <c r="J196" s="471"/>
      <c r="K196" s="471"/>
      <c r="L196" s="471"/>
      <c r="M196" s="471"/>
      <c r="N196" s="471"/>
      <c r="O196" s="471"/>
      <c r="P196" s="407"/>
      <c r="Q196" s="407"/>
      <c r="R196" s="453"/>
      <c r="S196" s="453"/>
      <c r="T196" s="454"/>
      <c r="U196" s="454"/>
      <c r="V196" s="455"/>
      <c r="W196" s="86"/>
      <c r="AB196" s="573"/>
      <c r="AC196" s="573"/>
      <c r="AD196" s="573"/>
      <c r="AE196" s="573"/>
      <c r="AF196" s="573"/>
      <c r="AG196" s="573"/>
    </row>
    <row r="197" spans="1:33" ht="15" customHeight="1" x14ac:dyDescent="0.25">
      <c r="A197" s="68"/>
      <c r="B197" s="321"/>
      <c r="C197" s="322"/>
      <c r="D197" s="471"/>
      <c r="E197" s="471"/>
      <c r="F197" s="471"/>
      <c r="G197" s="471"/>
      <c r="H197" s="471"/>
      <c r="I197" s="471"/>
      <c r="J197" s="471"/>
      <c r="K197" s="471"/>
      <c r="L197" s="471"/>
      <c r="M197" s="471"/>
      <c r="N197" s="471"/>
      <c r="O197" s="471"/>
      <c r="P197" s="407"/>
      <c r="Q197" s="407"/>
      <c r="R197" s="453"/>
      <c r="S197" s="453"/>
      <c r="T197" s="454"/>
      <c r="U197" s="454"/>
      <c r="V197" s="455"/>
      <c r="W197" s="87"/>
      <c r="AB197" s="573"/>
      <c r="AC197" s="573"/>
      <c r="AD197" s="573"/>
      <c r="AE197" s="573"/>
      <c r="AF197" s="573"/>
      <c r="AG197" s="573"/>
    </row>
    <row r="198" spans="1:33" ht="15" customHeight="1" x14ac:dyDescent="0.25">
      <c r="A198" s="68"/>
      <c r="B198" s="313" t="s">
        <v>36</v>
      </c>
      <c r="C198" s="314"/>
      <c r="D198" s="475"/>
      <c r="E198" s="475"/>
      <c r="F198" s="475"/>
      <c r="G198" s="475"/>
      <c r="H198" s="475"/>
      <c r="I198" s="475"/>
      <c r="J198" s="475"/>
      <c r="K198" s="475"/>
      <c r="L198" s="475"/>
      <c r="M198" s="475"/>
      <c r="N198" s="475"/>
      <c r="O198" s="475"/>
      <c r="P198" s="475"/>
      <c r="Q198" s="475"/>
      <c r="R198" s="465" t="s">
        <v>320</v>
      </c>
      <c r="S198" s="465"/>
      <c r="T198" s="467">
        <f>R196*T196</f>
        <v>0</v>
      </c>
      <c r="U198" s="467"/>
      <c r="V198" s="468"/>
      <c r="W198" s="86"/>
      <c r="AB198" s="573"/>
      <c r="AC198" s="573"/>
      <c r="AD198" s="573"/>
      <c r="AE198" s="573"/>
      <c r="AF198" s="573"/>
      <c r="AG198" s="573"/>
    </row>
    <row r="199" spans="1:33" ht="15" customHeight="1" thickBot="1" x14ac:dyDescent="0.3">
      <c r="A199" s="68"/>
      <c r="B199" s="315"/>
      <c r="C199" s="316"/>
      <c r="D199" s="476"/>
      <c r="E199" s="476"/>
      <c r="F199" s="476"/>
      <c r="G199" s="476"/>
      <c r="H199" s="476"/>
      <c r="I199" s="476"/>
      <c r="J199" s="476"/>
      <c r="K199" s="476"/>
      <c r="L199" s="476"/>
      <c r="M199" s="476"/>
      <c r="N199" s="476"/>
      <c r="O199" s="476"/>
      <c r="P199" s="476"/>
      <c r="Q199" s="476"/>
      <c r="R199" s="466"/>
      <c r="S199" s="466"/>
      <c r="T199" s="469"/>
      <c r="U199" s="469"/>
      <c r="V199" s="470"/>
      <c r="W199" s="89"/>
      <c r="AB199" s="573"/>
      <c r="AC199" s="573"/>
      <c r="AD199" s="573"/>
      <c r="AE199" s="573"/>
      <c r="AF199" s="573"/>
      <c r="AG199" s="573"/>
    </row>
    <row r="200" spans="1:33" ht="15" customHeight="1" x14ac:dyDescent="0.25">
      <c r="A200" s="68"/>
      <c r="B200" s="307">
        <v>60</v>
      </c>
      <c r="C200" s="308"/>
      <c r="D200" s="447"/>
      <c r="E200" s="447"/>
      <c r="F200" s="447"/>
      <c r="G200" s="447"/>
      <c r="H200" s="447"/>
      <c r="I200" s="447"/>
      <c r="J200" s="447"/>
      <c r="K200" s="447"/>
      <c r="L200" s="447"/>
      <c r="M200" s="447"/>
      <c r="N200" s="447"/>
      <c r="O200" s="447"/>
      <c r="P200" s="472" t="s">
        <v>33</v>
      </c>
      <c r="Q200" s="472"/>
      <c r="R200" s="472" t="s">
        <v>35</v>
      </c>
      <c r="S200" s="472"/>
      <c r="T200" s="404" t="s">
        <v>319</v>
      </c>
      <c r="U200" s="405"/>
      <c r="V200" s="406"/>
      <c r="W200" s="90"/>
      <c r="AB200" s="573"/>
      <c r="AC200" s="573"/>
      <c r="AD200" s="573"/>
      <c r="AE200" s="573"/>
      <c r="AF200" s="573"/>
      <c r="AG200" s="573"/>
    </row>
    <row r="201" spans="1:33" ht="15" customHeight="1" x14ac:dyDescent="0.25">
      <c r="A201" s="68"/>
      <c r="B201" s="309"/>
      <c r="C201" s="310"/>
      <c r="D201" s="471"/>
      <c r="E201" s="471"/>
      <c r="F201" s="471"/>
      <c r="G201" s="471"/>
      <c r="H201" s="471"/>
      <c r="I201" s="471"/>
      <c r="J201" s="471"/>
      <c r="K201" s="471"/>
      <c r="L201" s="471"/>
      <c r="M201" s="471"/>
      <c r="N201" s="471"/>
      <c r="O201" s="471"/>
      <c r="P201" s="407"/>
      <c r="Q201" s="407"/>
      <c r="R201" s="453"/>
      <c r="S201" s="453"/>
      <c r="T201" s="454"/>
      <c r="U201" s="454"/>
      <c r="V201" s="455"/>
      <c r="W201" s="90"/>
      <c r="AB201" s="573"/>
      <c r="AC201" s="573"/>
      <c r="AD201" s="573"/>
      <c r="AE201" s="573"/>
      <c r="AF201" s="573"/>
      <c r="AG201" s="573"/>
    </row>
    <row r="202" spans="1:33" ht="15" customHeight="1" x14ac:dyDescent="0.25">
      <c r="A202" s="68"/>
      <c r="B202" s="311"/>
      <c r="C202" s="312"/>
      <c r="D202" s="471"/>
      <c r="E202" s="471"/>
      <c r="F202" s="471"/>
      <c r="G202" s="471"/>
      <c r="H202" s="471"/>
      <c r="I202" s="471"/>
      <c r="J202" s="471"/>
      <c r="K202" s="471"/>
      <c r="L202" s="471"/>
      <c r="M202" s="471"/>
      <c r="N202" s="471"/>
      <c r="O202" s="471"/>
      <c r="P202" s="407"/>
      <c r="Q202" s="407"/>
      <c r="R202" s="453"/>
      <c r="S202" s="453"/>
      <c r="T202" s="454"/>
      <c r="U202" s="454"/>
      <c r="V202" s="455"/>
      <c r="W202" s="87"/>
      <c r="AB202" s="573"/>
      <c r="AC202" s="573"/>
      <c r="AD202" s="573"/>
      <c r="AE202" s="573"/>
      <c r="AF202" s="573"/>
      <c r="AG202" s="573"/>
    </row>
    <row r="203" spans="1:33" ht="15" customHeight="1" x14ac:dyDescent="0.25">
      <c r="A203" s="68"/>
      <c r="B203" s="323" t="s">
        <v>36</v>
      </c>
      <c r="C203" s="324"/>
      <c r="D203" s="475"/>
      <c r="E203" s="475"/>
      <c r="F203" s="475"/>
      <c r="G203" s="475"/>
      <c r="H203" s="475"/>
      <c r="I203" s="475"/>
      <c r="J203" s="475"/>
      <c r="K203" s="475"/>
      <c r="L203" s="475"/>
      <c r="M203" s="475"/>
      <c r="N203" s="475"/>
      <c r="O203" s="475"/>
      <c r="P203" s="475"/>
      <c r="Q203" s="475"/>
      <c r="R203" s="473" t="s">
        <v>320</v>
      </c>
      <c r="S203" s="473"/>
      <c r="T203" s="467">
        <f>R201*T201</f>
        <v>0</v>
      </c>
      <c r="U203" s="467"/>
      <c r="V203" s="468"/>
      <c r="W203" s="90"/>
      <c r="AB203" s="573"/>
      <c r="AC203" s="573"/>
      <c r="AD203" s="573"/>
      <c r="AE203" s="573"/>
      <c r="AF203" s="573"/>
      <c r="AG203" s="573"/>
    </row>
    <row r="204" spans="1:33" ht="15" customHeight="1" thickBot="1" x14ac:dyDescent="0.3">
      <c r="A204" s="68"/>
      <c r="B204" s="325"/>
      <c r="C204" s="326"/>
      <c r="D204" s="476"/>
      <c r="E204" s="476"/>
      <c r="F204" s="476"/>
      <c r="G204" s="476"/>
      <c r="H204" s="476"/>
      <c r="I204" s="476"/>
      <c r="J204" s="476"/>
      <c r="K204" s="476"/>
      <c r="L204" s="476"/>
      <c r="M204" s="476"/>
      <c r="N204" s="476"/>
      <c r="O204" s="476"/>
      <c r="P204" s="476"/>
      <c r="Q204" s="476"/>
      <c r="R204" s="474"/>
      <c r="S204" s="474"/>
      <c r="T204" s="469"/>
      <c r="U204" s="469"/>
      <c r="V204" s="470"/>
      <c r="W204" s="89"/>
      <c r="AB204" s="573"/>
      <c r="AC204" s="573"/>
      <c r="AD204" s="573"/>
      <c r="AE204" s="573"/>
      <c r="AF204" s="573"/>
      <c r="AG204" s="573"/>
    </row>
    <row r="205" spans="1:33" ht="15" customHeight="1" x14ac:dyDescent="0.25">
      <c r="A205" s="68"/>
      <c r="B205" s="317">
        <v>70</v>
      </c>
      <c r="C205" s="318"/>
      <c r="D205" s="447"/>
      <c r="E205" s="447"/>
      <c r="F205" s="447"/>
      <c r="G205" s="447"/>
      <c r="H205" s="447"/>
      <c r="I205" s="447"/>
      <c r="J205" s="447"/>
      <c r="K205" s="447"/>
      <c r="L205" s="447"/>
      <c r="M205" s="447"/>
      <c r="N205" s="447"/>
      <c r="O205" s="447"/>
      <c r="P205" s="450" t="s">
        <v>33</v>
      </c>
      <c r="Q205" s="450"/>
      <c r="R205" s="450" t="s">
        <v>35</v>
      </c>
      <c r="S205" s="450"/>
      <c r="T205" s="450" t="s">
        <v>319</v>
      </c>
      <c r="U205" s="450"/>
      <c r="V205" s="451"/>
      <c r="W205" s="86"/>
      <c r="AB205" s="573"/>
      <c r="AC205" s="573"/>
      <c r="AD205" s="573"/>
      <c r="AE205" s="573"/>
      <c r="AF205" s="573"/>
      <c r="AG205" s="573"/>
    </row>
    <row r="206" spans="1:33" ht="15" customHeight="1" x14ac:dyDescent="0.25">
      <c r="A206" s="68"/>
      <c r="B206" s="319"/>
      <c r="C206" s="320"/>
      <c r="D206" s="471"/>
      <c r="E206" s="471"/>
      <c r="F206" s="471"/>
      <c r="G206" s="471"/>
      <c r="H206" s="471"/>
      <c r="I206" s="471"/>
      <c r="J206" s="471"/>
      <c r="K206" s="471"/>
      <c r="L206" s="471"/>
      <c r="M206" s="471"/>
      <c r="N206" s="471"/>
      <c r="O206" s="471"/>
      <c r="P206" s="407"/>
      <c r="Q206" s="407"/>
      <c r="R206" s="453"/>
      <c r="S206" s="453"/>
      <c r="T206" s="454"/>
      <c r="U206" s="454"/>
      <c r="V206" s="455"/>
      <c r="W206" s="86"/>
      <c r="AB206" s="573"/>
      <c r="AC206" s="573"/>
      <c r="AD206" s="573"/>
      <c r="AE206" s="573"/>
      <c r="AF206" s="573"/>
      <c r="AG206" s="573"/>
    </row>
    <row r="207" spans="1:33" ht="15" customHeight="1" x14ac:dyDescent="0.25">
      <c r="A207" s="68"/>
      <c r="B207" s="321"/>
      <c r="C207" s="322"/>
      <c r="D207" s="471"/>
      <c r="E207" s="471"/>
      <c r="F207" s="471"/>
      <c r="G207" s="471"/>
      <c r="H207" s="471"/>
      <c r="I207" s="471"/>
      <c r="J207" s="471"/>
      <c r="K207" s="471"/>
      <c r="L207" s="471"/>
      <c r="M207" s="471"/>
      <c r="N207" s="471"/>
      <c r="O207" s="471"/>
      <c r="P207" s="407"/>
      <c r="Q207" s="407"/>
      <c r="R207" s="453"/>
      <c r="S207" s="453"/>
      <c r="T207" s="454"/>
      <c r="U207" s="454"/>
      <c r="V207" s="455"/>
      <c r="W207" s="87"/>
      <c r="AB207" s="573"/>
      <c r="AC207" s="573"/>
      <c r="AD207" s="573"/>
      <c r="AE207" s="573"/>
      <c r="AF207" s="573"/>
      <c r="AG207" s="573"/>
    </row>
    <row r="208" spans="1:33" ht="15" customHeight="1" x14ac:dyDescent="0.25">
      <c r="A208" s="68"/>
      <c r="B208" s="313" t="s">
        <v>36</v>
      </c>
      <c r="C208" s="314"/>
      <c r="D208" s="475"/>
      <c r="E208" s="475"/>
      <c r="F208" s="475"/>
      <c r="G208" s="475"/>
      <c r="H208" s="475"/>
      <c r="I208" s="475"/>
      <c r="J208" s="475"/>
      <c r="K208" s="475"/>
      <c r="L208" s="475"/>
      <c r="M208" s="475"/>
      <c r="N208" s="475"/>
      <c r="O208" s="475"/>
      <c r="P208" s="475"/>
      <c r="Q208" s="475"/>
      <c r="R208" s="465" t="s">
        <v>320</v>
      </c>
      <c r="S208" s="465"/>
      <c r="T208" s="467">
        <f>R206*T206</f>
        <v>0</v>
      </c>
      <c r="U208" s="467"/>
      <c r="V208" s="468"/>
      <c r="W208" s="86"/>
      <c r="AB208" s="573"/>
      <c r="AC208" s="573"/>
      <c r="AD208" s="573"/>
      <c r="AE208" s="573"/>
      <c r="AF208" s="573"/>
      <c r="AG208" s="573"/>
    </row>
    <row r="209" spans="1:38" ht="15" customHeight="1" thickBot="1" x14ac:dyDescent="0.3">
      <c r="A209" s="68"/>
      <c r="B209" s="315"/>
      <c r="C209" s="316"/>
      <c r="D209" s="476"/>
      <c r="E209" s="476"/>
      <c r="F209" s="476"/>
      <c r="G209" s="476"/>
      <c r="H209" s="476"/>
      <c r="I209" s="476"/>
      <c r="J209" s="476"/>
      <c r="K209" s="476"/>
      <c r="L209" s="476"/>
      <c r="M209" s="476"/>
      <c r="N209" s="476"/>
      <c r="O209" s="476"/>
      <c r="P209" s="476"/>
      <c r="Q209" s="476"/>
      <c r="R209" s="466"/>
      <c r="S209" s="466"/>
      <c r="T209" s="469"/>
      <c r="U209" s="469"/>
      <c r="V209" s="470"/>
      <c r="W209" s="89"/>
      <c r="AB209" s="573"/>
      <c r="AC209" s="573"/>
      <c r="AD209" s="573"/>
      <c r="AE209" s="573"/>
      <c r="AF209" s="573"/>
      <c r="AG209" s="573"/>
    </row>
    <row r="210" spans="1:38" ht="15" customHeight="1" x14ac:dyDescent="0.25">
      <c r="A210" s="68"/>
      <c r="B210" s="307">
        <v>80</v>
      </c>
      <c r="C210" s="308"/>
      <c r="D210" s="447"/>
      <c r="E210" s="447"/>
      <c r="F210" s="447"/>
      <c r="G210" s="447"/>
      <c r="H210" s="447"/>
      <c r="I210" s="447"/>
      <c r="J210" s="447"/>
      <c r="K210" s="447"/>
      <c r="L210" s="447"/>
      <c r="M210" s="447"/>
      <c r="N210" s="447"/>
      <c r="O210" s="447"/>
      <c r="P210" s="472" t="s">
        <v>33</v>
      </c>
      <c r="Q210" s="472"/>
      <c r="R210" s="472" t="s">
        <v>35</v>
      </c>
      <c r="S210" s="472"/>
      <c r="T210" s="404" t="s">
        <v>319</v>
      </c>
      <c r="U210" s="405"/>
      <c r="V210" s="406"/>
      <c r="W210" s="90"/>
      <c r="AB210" s="573"/>
      <c r="AC210" s="573"/>
      <c r="AD210" s="573"/>
      <c r="AE210" s="573"/>
      <c r="AF210" s="573"/>
      <c r="AG210" s="573"/>
    </row>
    <row r="211" spans="1:38" ht="15" customHeight="1" x14ac:dyDescent="0.25">
      <c r="A211" s="68"/>
      <c r="B211" s="309"/>
      <c r="C211" s="310"/>
      <c r="D211" s="471"/>
      <c r="E211" s="471"/>
      <c r="F211" s="471"/>
      <c r="G211" s="471"/>
      <c r="H211" s="471"/>
      <c r="I211" s="471"/>
      <c r="J211" s="471"/>
      <c r="K211" s="471"/>
      <c r="L211" s="471"/>
      <c r="M211" s="471"/>
      <c r="N211" s="471"/>
      <c r="O211" s="471"/>
      <c r="P211" s="407"/>
      <c r="Q211" s="407"/>
      <c r="R211" s="453"/>
      <c r="S211" s="453"/>
      <c r="T211" s="454"/>
      <c r="U211" s="454"/>
      <c r="V211" s="455"/>
      <c r="W211" s="90"/>
      <c r="AB211" s="573"/>
      <c r="AC211" s="573"/>
      <c r="AD211" s="573"/>
      <c r="AE211" s="573"/>
      <c r="AF211" s="573"/>
      <c r="AG211" s="573"/>
    </row>
    <row r="212" spans="1:38" ht="15" customHeight="1" x14ac:dyDescent="0.25">
      <c r="A212" s="68"/>
      <c r="B212" s="311"/>
      <c r="C212" s="312"/>
      <c r="D212" s="471"/>
      <c r="E212" s="471"/>
      <c r="F212" s="471"/>
      <c r="G212" s="471"/>
      <c r="H212" s="471"/>
      <c r="I212" s="471"/>
      <c r="J212" s="471"/>
      <c r="K212" s="471"/>
      <c r="L212" s="471"/>
      <c r="M212" s="471"/>
      <c r="N212" s="471"/>
      <c r="O212" s="471"/>
      <c r="P212" s="407"/>
      <c r="Q212" s="407"/>
      <c r="R212" s="453"/>
      <c r="S212" s="453"/>
      <c r="T212" s="454"/>
      <c r="U212" s="454"/>
      <c r="V212" s="455"/>
      <c r="W212" s="87"/>
    </row>
    <row r="213" spans="1:38" ht="15" customHeight="1" x14ac:dyDescent="0.25">
      <c r="A213" s="68"/>
      <c r="B213" s="323" t="s">
        <v>36</v>
      </c>
      <c r="C213" s="324"/>
      <c r="D213" s="475"/>
      <c r="E213" s="475"/>
      <c r="F213" s="475"/>
      <c r="G213" s="475"/>
      <c r="H213" s="475"/>
      <c r="I213" s="475"/>
      <c r="J213" s="475"/>
      <c r="K213" s="475"/>
      <c r="L213" s="475"/>
      <c r="M213" s="475"/>
      <c r="N213" s="475"/>
      <c r="O213" s="475"/>
      <c r="P213" s="475"/>
      <c r="Q213" s="475"/>
      <c r="R213" s="473" t="s">
        <v>320</v>
      </c>
      <c r="S213" s="473"/>
      <c r="T213" s="467">
        <f>R211*T211</f>
        <v>0</v>
      </c>
      <c r="U213" s="467"/>
      <c r="V213" s="468"/>
      <c r="W213" s="90"/>
    </row>
    <row r="214" spans="1:38" ht="15" customHeight="1" thickBot="1" x14ac:dyDescent="0.3">
      <c r="A214" s="68"/>
      <c r="B214" s="325"/>
      <c r="C214" s="326"/>
      <c r="D214" s="476"/>
      <c r="E214" s="476"/>
      <c r="F214" s="476"/>
      <c r="G214" s="476"/>
      <c r="H214" s="476"/>
      <c r="I214" s="476"/>
      <c r="J214" s="476"/>
      <c r="K214" s="476"/>
      <c r="L214" s="476"/>
      <c r="M214" s="476"/>
      <c r="N214" s="476"/>
      <c r="O214" s="476"/>
      <c r="P214" s="476"/>
      <c r="Q214" s="476"/>
      <c r="R214" s="474"/>
      <c r="S214" s="474"/>
      <c r="T214" s="469"/>
      <c r="U214" s="469"/>
      <c r="V214" s="470"/>
      <c r="W214" s="89"/>
    </row>
    <row r="215" spans="1:38" ht="15" customHeight="1" x14ac:dyDescent="0.25">
      <c r="A215" s="68"/>
      <c r="B215" s="317">
        <v>90</v>
      </c>
      <c r="C215" s="318"/>
      <c r="D215" s="447"/>
      <c r="E215" s="447"/>
      <c r="F215" s="447"/>
      <c r="G215" s="447"/>
      <c r="H215" s="447"/>
      <c r="I215" s="447"/>
      <c r="J215" s="447"/>
      <c r="K215" s="447"/>
      <c r="L215" s="447"/>
      <c r="M215" s="447"/>
      <c r="N215" s="447"/>
      <c r="O215" s="447"/>
      <c r="P215" s="450" t="s">
        <v>33</v>
      </c>
      <c r="Q215" s="450"/>
      <c r="R215" s="450" t="s">
        <v>35</v>
      </c>
      <c r="S215" s="450"/>
      <c r="T215" s="450" t="s">
        <v>319</v>
      </c>
      <c r="U215" s="450"/>
      <c r="V215" s="451"/>
      <c r="W215" s="86"/>
    </row>
    <row r="216" spans="1:38" ht="15" customHeight="1" x14ac:dyDescent="0.25">
      <c r="A216" s="68"/>
      <c r="B216" s="319"/>
      <c r="C216" s="320"/>
      <c r="D216" s="471"/>
      <c r="E216" s="471"/>
      <c r="F216" s="471"/>
      <c r="G216" s="471"/>
      <c r="H216" s="471"/>
      <c r="I216" s="471"/>
      <c r="J216" s="471"/>
      <c r="K216" s="471"/>
      <c r="L216" s="471"/>
      <c r="M216" s="471"/>
      <c r="N216" s="471"/>
      <c r="O216" s="471"/>
      <c r="P216" s="407"/>
      <c r="Q216" s="407"/>
      <c r="R216" s="453"/>
      <c r="S216" s="453"/>
      <c r="T216" s="454"/>
      <c r="U216" s="454"/>
      <c r="V216" s="455"/>
      <c r="W216" s="86"/>
    </row>
    <row r="217" spans="1:38" ht="15" customHeight="1" x14ac:dyDescent="0.25">
      <c r="A217" s="68"/>
      <c r="B217" s="321"/>
      <c r="C217" s="322"/>
      <c r="D217" s="471"/>
      <c r="E217" s="471"/>
      <c r="F217" s="471"/>
      <c r="G217" s="471"/>
      <c r="H217" s="471"/>
      <c r="I217" s="471"/>
      <c r="J217" s="471"/>
      <c r="K217" s="471"/>
      <c r="L217" s="471"/>
      <c r="M217" s="471"/>
      <c r="N217" s="471"/>
      <c r="O217" s="471"/>
      <c r="P217" s="407"/>
      <c r="Q217" s="407"/>
      <c r="R217" s="453"/>
      <c r="S217" s="453"/>
      <c r="T217" s="454"/>
      <c r="U217" s="454"/>
      <c r="V217" s="455"/>
      <c r="W217" s="87"/>
    </row>
    <row r="218" spans="1:38" ht="15" customHeight="1" x14ac:dyDescent="0.25">
      <c r="A218" s="68"/>
      <c r="B218" s="313" t="s">
        <v>36</v>
      </c>
      <c r="C218" s="314"/>
      <c r="D218" s="475"/>
      <c r="E218" s="475"/>
      <c r="F218" s="475"/>
      <c r="G218" s="475"/>
      <c r="H218" s="475"/>
      <c r="I218" s="475"/>
      <c r="J218" s="475"/>
      <c r="K218" s="475"/>
      <c r="L218" s="475"/>
      <c r="M218" s="475"/>
      <c r="N218" s="475"/>
      <c r="O218" s="475"/>
      <c r="P218" s="475"/>
      <c r="Q218" s="475"/>
      <c r="R218" s="465" t="s">
        <v>320</v>
      </c>
      <c r="S218" s="465"/>
      <c r="T218" s="467">
        <f>R216*T216</f>
        <v>0</v>
      </c>
      <c r="U218" s="467"/>
      <c r="V218" s="468"/>
      <c r="W218" s="86"/>
    </row>
    <row r="219" spans="1:38" ht="15" customHeight="1" thickBot="1" x14ac:dyDescent="0.3">
      <c r="A219" s="68"/>
      <c r="B219" s="315"/>
      <c r="C219" s="316"/>
      <c r="D219" s="476"/>
      <c r="E219" s="476"/>
      <c r="F219" s="476"/>
      <c r="G219" s="476"/>
      <c r="H219" s="476"/>
      <c r="I219" s="476"/>
      <c r="J219" s="476"/>
      <c r="K219" s="476"/>
      <c r="L219" s="476"/>
      <c r="M219" s="476"/>
      <c r="N219" s="476"/>
      <c r="O219" s="476"/>
      <c r="P219" s="476"/>
      <c r="Q219" s="476"/>
      <c r="R219" s="466"/>
      <c r="S219" s="466"/>
      <c r="T219" s="469"/>
      <c r="U219" s="469"/>
      <c r="V219" s="470"/>
      <c r="W219" s="89"/>
    </row>
    <row r="220" spans="1:38" ht="15" customHeight="1" x14ac:dyDescent="0.25">
      <c r="A220" s="68"/>
      <c r="B220" s="307">
        <v>100</v>
      </c>
      <c r="C220" s="308"/>
      <c r="D220" s="447"/>
      <c r="E220" s="447"/>
      <c r="F220" s="447"/>
      <c r="G220" s="447"/>
      <c r="H220" s="447"/>
      <c r="I220" s="447"/>
      <c r="J220" s="447"/>
      <c r="K220" s="447"/>
      <c r="L220" s="447"/>
      <c r="M220" s="447"/>
      <c r="N220" s="447"/>
      <c r="O220" s="447"/>
      <c r="P220" s="472" t="s">
        <v>33</v>
      </c>
      <c r="Q220" s="472"/>
      <c r="R220" s="472" t="s">
        <v>35</v>
      </c>
      <c r="S220" s="472"/>
      <c r="T220" s="404" t="s">
        <v>319</v>
      </c>
      <c r="U220" s="405"/>
      <c r="V220" s="406"/>
      <c r="W220" s="90"/>
    </row>
    <row r="221" spans="1:38" ht="15" customHeight="1" x14ac:dyDescent="0.25">
      <c r="A221" s="68"/>
      <c r="B221" s="309"/>
      <c r="C221" s="310"/>
      <c r="D221" s="471"/>
      <c r="E221" s="471"/>
      <c r="F221" s="471"/>
      <c r="G221" s="471"/>
      <c r="H221" s="471"/>
      <c r="I221" s="471"/>
      <c r="J221" s="471"/>
      <c r="K221" s="471"/>
      <c r="L221" s="471"/>
      <c r="M221" s="471"/>
      <c r="N221" s="471"/>
      <c r="O221" s="471"/>
      <c r="P221" s="407"/>
      <c r="Q221" s="407"/>
      <c r="R221" s="453"/>
      <c r="S221" s="453"/>
      <c r="T221" s="454"/>
      <c r="U221" s="454"/>
      <c r="V221" s="455"/>
      <c r="W221" s="90"/>
      <c r="AL221" s="91"/>
    </row>
    <row r="222" spans="1:38" ht="15" customHeight="1" x14ac:dyDescent="0.25">
      <c r="A222" s="68"/>
      <c r="B222" s="311"/>
      <c r="C222" s="312"/>
      <c r="D222" s="471"/>
      <c r="E222" s="471"/>
      <c r="F222" s="471"/>
      <c r="G222" s="471"/>
      <c r="H222" s="471"/>
      <c r="I222" s="471"/>
      <c r="J222" s="471"/>
      <c r="K222" s="471"/>
      <c r="L222" s="471"/>
      <c r="M222" s="471"/>
      <c r="N222" s="471"/>
      <c r="O222" s="471"/>
      <c r="P222" s="407"/>
      <c r="Q222" s="407"/>
      <c r="R222" s="453"/>
      <c r="S222" s="453"/>
      <c r="T222" s="454"/>
      <c r="U222" s="454"/>
      <c r="V222" s="455"/>
      <c r="W222" s="87"/>
      <c r="X222" s="92"/>
      <c r="Y222" s="92"/>
      <c r="Z222" s="92"/>
    </row>
    <row r="223" spans="1:38" ht="15" customHeight="1" x14ac:dyDescent="0.25">
      <c r="A223" s="68"/>
      <c r="B223" s="323" t="s">
        <v>36</v>
      </c>
      <c r="C223" s="324"/>
      <c r="D223" s="475"/>
      <c r="E223" s="475"/>
      <c r="F223" s="475"/>
      <c r="G223" s="475"/>
      <c r="H223" s="475"/>
      <c r="I223" s="475"/>
      <c r="J223" s="475"/>
      <c r="K223" s="475"/>
      <c r="L223" s="475"/>
      <c r="M223" s="475"/>
      <c r="N223" s="475"/>
      <c r="O223" s="475"/>
      <c r="P223" s="475"/>
      <c r="Q223" s="475"/>
      <c r="R223" s="473" t="s">
        <v>320</v>
      </c>
      <c r="S223" s="473"/>
      <c r="T223" s="467">
        <f>R221*T221</f>
        <v>0</v>
      </c>
      <c r="U223" s="467"/>
      <c r="V223" s="468"/>
      <c r="W223" s="90"/>
    </row>
    <row r="224" spans="1:38" ht="15" customHeight="1" thickBot="1" x14ac:dyDescent="0.3">
      <c r="A224" s="68"/>
      <c r="B224" s="325"/>
      <c r="C224" s="326"/>
      <c r="D224" s="476"/>
      <c r="E224" s="476"/>
      <c r="F224" s="476"/>
      <c r="G224" s="476"/>
      <c r="H224" s="476"/>
      <c r="I224" s="476"/>
      <c r="J224" s="476"/>
      <c r="K224" s="476"/>
      <c r="L224" s="476"/>
      <c r="M224" s="476"/>
      <c r="N224" s="476"/>
      <c r="O224" s="476"/>
      <c r="P224" s="476"/>
      <c r="Q224" s="476"/>
      <c r="R224" s="474"/>
      <c r="S224" s="474"/>
      <c r="T224" s="469"/>
      <c r="U224" s="469"/>
      <c r="V224" s="470"/>
      <c r="W224" s="89"/>
    </row>
    <row r="225" spans="1:34" ht="21.95" customHeight="1" thickBot="1" x14ac:dyDescent="0.3">
      <c r="A225" s="68"/>
      <c r="B225" s="477" t="s">
        <v>37</v>
      </c>
      <c r="C225" s="477"/>
      <c r="D225" s="477"/>
      <c r="E225" s="477"/>
      <c r="F225" s="477"/>
      <c r="G225" s="477"/>
      <c r="H225" s="477"/>
      <c r="I225" s="477"/>
      <c r="J225" s="477"/>
      <c r="K225" s="477"/>
      <c r="L225" s="478" t="str">
        <f>IF(R225&gt;=$AE$144,"Montant Total de la Commande :","Sous-Total 1 - Voir Page suivante :")</f>
        <v>Montant Total de la Commande :</v>
      </c>
      <c r="M225" s="479"/>
      <c r="N225" s="479"/>
      <c r="O225" s="479"/>
      <c r="P225" s="479"/>
      <c r="Q225" s="479"/>
      <c r="R225" s="480">
        <f>SUM(T178,T183,T188,T193,T198,T203,T208,T213,T218,T223)</f>
        <v>30000</v>
      </c>
      <c r="S225" s="480"/>
      <c r="T225" s="480"/>
      <c r="U225" s="480"/>
      <c r="V225" s="481"/>
      <c r="W225" s="93"/>
    </row>
    <row r="226" spans="1:34" ht="9" customHeight="1" thickBot="1" x14ac:dyDescent="0.3">
      <c r="A226" s="68"/>
      <c r="B226" s="220"/>
      <c r="C226" s="220"/>
      <c r="D226" s="220"/>
      <c r="E226" s="220"/>
      <c r="F226" s="220"/>
      <c r="G226" s="220"/>
      <c r="H226" s="220"/>
      <c r="I226" s="220"/>
      <c r="J226" s="220"/>
      <c r="K226" s="220"/>
      <c r="L226" s="223"/>
      <c r="M226" s="223"/>
      <c r="N226" s="223"/>
      <c r="O226" s="223"/>
      <c r="P226" s="223"/>
      <c r="Q226" s="223"/>
      <c r="R226" s="224"/>
      <c r="S226" s="224"/>
      <c r="T226" s="224"/>
      <c r="U226" s="224"/>
      <c r="V226" s="240"/>
      <c r="W226" s="93"/>
    </row>
    <row r="227" spans="1:34" ht="12.75" customHeight="1" thickBot="1" x14ac:dyDescent="0.3">
      <c r="A227" s="68"/>
      <c r="D227" s="546" t="s">
        <v>38</v>
      </c>
      <c r="E227" s="546"/>
      <c r="F227" s="546"/>
      <c r="G227" s="547"/>
      <c r="H227" s="548" t="s">
        <v>39</v>
      </c>
      <c r="I227" s="549"/>
      <c r="J227" s="549"/>
      <c r="K227" s="549"/>
      <c r="L227" s="549"/>
      <c r="M227" s="549"/>
      <c r="N227" s="549"/>
      <c r="O227" s="549"/>
      <c r="P227" s="549"/>
      <c r="Q227" s="549"/>
      <c r="R227" s="549"/>
      <c r="S227" s="549"/>
      <c r="T227" s="549"/>
      <c r="U227" s="549"/>
      <c r="V227" s="550"/>
      <c r="W227" s="94"/>
      <c r="AA227" s="88"/>
      <c r="AB227" s="409" t="s">
        <v>42</v>
      </c>
      <c r="AC227" s="409"/>
      <c r="AD227" s="409"/>
      <c r="AE227" s="409"/>
      <c r="AF227" s="409"/>
      <c r="AG227" s="409"/>
      <c r="AH227" s="85"/>
    </row>
    <row r="228" spans="1:34" ht="12.75" customHeight="1" x14ac:dyDescent="0.25">
      <c r="A228" s="68"/>
      <c r="B228" s="491" t="s">
        <v>41</v>
      </c>
      <c r="C228" s="492"/>
      <c r="D228" s="482"/>
      <c r="E228" s="483"/>
      <c r="F228" s="483"/>
      <c r="G228" s="484"/>
      <c r="H228" s="501" t="s">
        <v>335</v>
      </c>
      <c r="I228" s="502"/>
      <c r="J228" s="502"/>
      <c r="K228" s="502"/>
      <c r="L228" s="502"/>
      <c r="M228" s="502"/>
      <c r="N228" s="502"/>
      <c r="O228" s="502"/>
      <c r="P228" s="502"/>
      <c r="Q228" s="502"/>
      <c r="R228" s="502"/>
      <c r="S228" s="502"/>
      <c r="T228" s="502"/>
      <c r="U228" s="502"/>
      <c r="V228" s="503"/>
      <c r="W228" s="95"/>
      <c r="AA228" s="71"/>
      <c r="AB228" s="409"/>
      <c r="AC228" s="409"/>
      <c r="AD228" s="409"/>
      <c r="AE228" s="409"/>
      <c r="AF228" s="409"/>
      <c r="AG228" s="409"/>
      <c r="AH228" s="85"/>
    </row>
    <row r="229" spans="1:34" ht="12.75" customHeight="1" x14ac:dyDescent="0.25">
      <c r="A229" s="68"/>
      <c r="B229" s="493"/>
      <c r="C229" s="494"/>
      <c r="D229" s="485"/>
      <c r="E229" s="486"/>
      <c r="F229" s="486"/>
      <c r="G229" s="487"/>
      <c r="H229" s="504"/>
      <c r="I229" s="505"/>
      <c r="J229" s="505"/>
      <c r="K229" s="505"/>
      <c r="L229" s="505"/>
      <c r="M229" s="505"/>
      <c r="N229" s="505"/>
      <c r="O229" s="505"/>
      <c r="P229" s="505"/>
      <c r="Q229" s="505"/>
      <c r="R229" s="505"/>
      <c r="S229" s="505"/>
      <c r="T229" s="505"/>
      <c r="U229" s="505"/>
      <c r="V229" s="506"/>
      <c r="W229" s="95"/>
      <c r="AH229" s="85"/>
    </row>
    <row r="230" spans="1:34" ht="12.75" customHeight="1" thickBot="1" x14ac:dyDescent="0.3">
      <c r="A230" s="68"/>
      <c r="B230" s="495"/>
      <c r="C230" s="496"/>
      <c r="D230" s="485"/>
      <c r="E230" s="486"/>
      <c r="F230" s="486"/>
      <c r="G230" s="487"/>
      <c r="H230" s="507"/>
      <c r="I230" s="508"/>
      <c r="J230" s="508"/>
      <c r="K230" s="508"/>
      <c r="L230" s="508"/>
      <c r="M230" s="508"/>
      <c r="N230" s="508"/>
      <c r="O230" s="508"/>
      <c r="P230" s="508"/>
      <c r="Q230" s="508"/>
      <c r="R230" s="508"/>
      <c r="S230" s="508"/>
      <c r="T230" s="508"/>
      <c r="U230" s="508"/>
      <c r="V230" s="509"/>
      <c r="W230" s="96"/>
      <c r="AA230" s="88"/>
      <c r="AB230" s="409" t="s">
        <v>26</v>
      </c>
      <c r="AC230" s="409"/>
      <c r="AD230" s="409"/>
      <c r="AE230" s="409"/>
      <c r="AF230" s="409"/>
      <c r="AG230" s="409"/>
      <c r="AH230" s="85"/>
    </row>
    <row r="231" spans="1:34" ht="16.5" customHeight="1" thickBot="1" x14ac:dyDescent="0.3">
      <c r="A231" s="68"/>
      <c r="B231" s="182"/>
      <c r="C231" s="181"/>
      <c r="D231" s="488"/>
      <c r="E231" s="489"/>
      <c r="F231" s="489"/>
      <c r="G231" s="490"/>
      <c r="H231" s="504"/>
      <c r="I231" s="505"/>
      <c r="J231" s="505"/>
      <c r="K231" s="505"/>
      <c r="L231" s="505"/>
      <c r="M231" s="505"/>
      <c r="N231" s="505"/>
      <c r="O231" s="505"/>
      <c r="P231" s="505"/>
      <c r="Q231" s="505"/>
      <c r="R231" s="505"/>
      <c r="S231" s="505"/>
      <c r="T231" s="505"/>
      <c r="U231" s="505"/>
      <c r="V231" s="506"/>
      <c r="W231" s="97"/>
      <c r="AA231" s="71"/>
      <c r="AB231" s="409"/>
      <c r="AC231" s="409"/>
      <c r="AD231" s="409"/>
      <c r="AE231" s="409"/>
      <c r="AF231" s="409"/>
      <c r="AG231" s="409"/>
    </row>
    <row r="232" spans="1:34" ht="12" customHeight="1" thickBot="1" x14ac:dyDescent="0.3">
      <c r="A232" s="68"/>
      <c r="B232" s="98"/>
      <c r="C232" s="98"/>
      <c r="D232" s="98"/>
      <c r="E232" s="98"/>
      <c r="F232" s="98"/>
      <c r="G232" s="98"/>
      <c r="H232" s="99"/>
      <c r="I232" s="100"/>
      <c r="J232" s="100"/>
      <c r="K232" s="100"/>
      <c r="L232" s="100"/>
      <c r="M232" s="100"/>
      <c r="N232" s="100"/>
      <c r="O232" s="100"/>
      <c r="P232" s="100"/>
      <c r="Q232" s="100"/>
      <c r="R232" s="100"/>
      <c r="S232" s="100"/>
      <c r="T232" s="100"/>
      <c r="U232" s="100"/>
      <c r="V232" s="101"/>
      <c r="W232" s="97"/>
      <c r="AB232" s="409"/>
      <c r="AC232" s="409"/>
      <c r="AD232" s="409"/>
      <c r="AE232" s="409"/>
      <c r="AF232" s="409"/>
      <c r="AG232" s="409"/>
    </row>
    <row r="233" spans="1:34" ht="12" customHeight="1" thickBot="1" x14ac:dyDescent="0.3">
      <c r="A233" s="68"/>
      <c r="B233" s="510" t="s">
        <v>294</v>
      </c>
      <c r="C233" s="511"/>
      <c r="D233" s="511"/>
      <c r="E233" s="511"/>
      <c r="F233" s="511"/>
      <c r="G233" s="511"/>
      <c r="H233" s="511"/>
      <c r="I233" s="511"/>
      <c r="J233" s="511"/>
      <c r="K233" s="511"/>
      <c r="L233" s="511"/>
      <c r="M233" s="512"/>
      <c r="N233" s="512"/>
      <c r="O233" s="512"/>
      <c r="P233" s="512"/>
      <c r="Q233" s="512"/>
      <c r="R233" s="512"/>
      <c r="S233" s="512"/>
      <c r="T233" s="512"/>
      <c r="U233" s="512"/>
      <c r="V233" s="513"/>
      <c r="W233" s="102"/>
      <c r="AB233" s="409"/>
      <c r="AC233" s="409"/>
      <c r="AD233" s="409"/>
      <c r="AE233" s="409"/>
      <c r="AF233" s="409"/>
      <c r="AG233" s="409"/>
    </row>
    <row r="234" spans="1:34" ht="12" customHeight="1" x14ac:dyDescent="0.25">
      <c r="A234" s="68"/>
      <c r="B234" s="305">
        <v>1</v>
      </c>
      <c r="C234" s="306"/>
      <c r="D234" s="516" t="s">
        <v>43</v>
      </c>
      <c r="E234" s="517"/>
      <c r="F234" s="517"/>
      <c r="G234" s="517"/>
      <c r="H234" s="517"/>
      <c r="I234" s="517"/>
      <c r="J234" s="517"/>
      <c r="K234" s="517"/>
      <c r="L234" s="195"/>
      <c r="M234" s="103"/>
      <c r="N234" s="216" t="s">
        <v>289</v>
      </c>
      <c r="O234" s="297" t="s">
        <v>243</v>
      </c>
      <c r="P234" s="297"/>
      <c r="Q234" s="297"/>
      <c r="R234" s="297"/>
      <c r="S234" s="297"/>
      <c r="T234" s="297"/>
      <c r="U234" s="297"/>
      <c r="V234" s="298"/>
      <c r="W234" s="104"/>
      <c r="AB234" s="409"/>
      <c r="AC234" s="409"/>
      <c r="AD234" s="409"/>
      <c r="AE234" s="409"/>
      <c r="AF234" s="409"/>
      <c r="AG234" s="409"/>
    </row>
    <row r="235" spans="1:34" ht="12" customHeight="1" x14ac:dyDescent="0.25">
      <c r="A235" s="68"/>
      <c r="B235" s="105"/>
      <c r="C235" s="216" t="s">
        <v>289</v>
      </c>
      <c r="D235" s="297" t="s">
        <v>213</v>
      </c>
      <c r="E235" s="297"/>
      <c r="F235" s="297"/>
      <c r="G235" s="297"/>
      <c r="H235" s="297"/>
      <c r="I235" s="297"/>
      <c r="J235" s="297"/>
      <c r="K235" s="297"/>
      <c r="L235" s="298"/>
      <c r="M235" s="103"/>
      <c r="N235" s="216" t="s">
        <v>289</v>
      </c>
      <c r="O235" s="297" t="s">
        <v>244</v>
      </c>
      <c r="P235" s="297"/>
      <c r="Q235" s="297"/>
      <c r="R235" s="297"/>
      <c r="S235" s="297"/>
      <c r="T235" s="297"/>
      <c r="U235" s="297"/>
      <c r="V235" s="298"/>
      <c r="W235" s="104"/>
      <c r="AB235" s="409"/>
      <c r="AC235" s="409"/>
      <c r="AD235" s="409"/>
      <c r="AE235" s="409"/>
      <c r="AF235" s="409"/>
      <c r="AG235" s="409"/>
    </row>
    <row r="236" spans="1:34" ht="12" customHeight="1" x14ac:dyDescent="0.25">
      <c r="A236" s="68"/>
      <c r="B236" s="105"/>
      <c r="C236" s="216" t="s">
        <v>289</v>
      </c>
      <c r="D236" s="297" t="s">
        <v>198</v>
      </c>
      <c r="E236" s="297"/>
      <c r="F236" s="297"/>
      <c r="G236" s="297"/>
      <c r="H236" s="297"/>
      <c r="I236" s="297"/>
      <c r="J236" s="297"/>
      <c r="K236" s="297"/>
      <c r="L236" s="298"/>
      <c r="M236" s="103"/>
      <c r="N236" s="216" t="s">
        <v>289</v>
      </c>
      <c r="O236" s="297" t="s">
        <v>245</v>
      </c>
      <c r="P236" s="297"/>
      <c r="Q236" s="297"/>
      <c r="R236" s="297"/>
      <c r="S236" s="297"/>
      <c r="T236" s="297"/>
      <c r="U236" s="297"/>
      <c r="V236" s="298"/>
      <c r="W236" s="104"/>
      <c r="AB236" s="409"/>
      <c r="AC236" s="409"/>
      <c r="AD236" s="409"/>
      <c r="AE236" s="409"/>
      <c r="AF236" s="409"/>
      <c r="AG236" s="409"/>
    </row>
    <row r="237" spans="1:34" ht="12" customHeight="1" x14ac:dyDescent="0.25">
      <c r="A237" s="68"/>
      <c r="B237" s="105"/>
      <c r="C237" s="216" t="s">
        <v>289</v>
      </c>
      <c r="D237" s="297" t="s">
        <v>199</v>
      </c>
      <c r="E237" s="297"/>
      <c r="F237" s="297"/>
      <c r="G237" s="297"/>
      <c r="H237" s="297"/>
      <c r="I237" s="297"/>
      <c r="J237" s="297"/>
      <c r="K237" s="297"/>
      <c r="L237" s="298"/>
      <c r="M237" s="103"/>
      <c r="N237" s="216" t="s">
        <v>289</v>
      </c>
      <c r="O237" s="297" t="s">
        <v>246</v>
      </c>
      <c r="P237" s="297"/>
      <c r="Q237" s="297"/>
      <c r="R237" s="297"/>
      <c r="S237" s="297"/>
      <c r="T237" s="297"/>
      <c r="U237" s="297"/>
      <c r="V237" s="298"/>
      <c r="W237" s="104"/>
      <c r="AB237" s="409"/>
      <c r="AC237" s="409"/>
      <c r="AD237" s="409"/>
      <c r="AE237" s="409"/>
      <c r="AF237" s="409"/>
      <c r="AG237" s="409"/>
    </row>
    <row r="238" spans="1:34" ht="12" customHeight="1" x14ac:dyDescent="0.25">
      <c r="A238" s="68"/>
      <c r="B238" s="105"/>
      <c r="C238" s="216" t="s">
        <v>289</v>
      </c>
      <c r="D238" s="297" t="s">
        <v>200</v>
      </c>
      <c r="E238" s="297"/>
      <c r="F238" s="297"/>
      <c r="G238" s="297"/>
      <c r="H238" s="297"/>
      <c r="I238" s="297"/>
      <c r="J238" s="297"/>
      <c r="K238" s="297"/>
      <c r="L238" s="298"/>
      <c r="M238" s="103"/>
      <c r="N238" s="216" t="s">
        <v>289</v>
      </c>
      <c r="O238" s="297" t="s">
        <v>247</v>
      </c>
      <c r="P238" s="297"/>
      <c r="Q238" s="297"/>
      <c r="R238" s="297"/>
      <c r="S238" s="297"/>
      <c r="T238" s="297"/>
      <c r="U238" s="297"/>
      <c r="V238" s="298"/>
      <c r="W238" s="104"/>
      <c r="AB238" s="409"/>
      <c r="AC238" s="409"/>
      <c r="AD238" s="409"/>
      <c r="AE238" s="409"/>
      <c r="AF238" s="409"/>
      <c r="AG238" s="409"/>
    </row>
    <row r="239" spans="1:34" ht="12" customHeight="1" x14ac:dyDescent="0.25">
      <c r="A239" s="68"/>
      <c r="B239" s="190"/>
      <c r="C239" s="216" t="s">
        <v>289</v>
      </c>
      <c r="D239" s="297" t="s">
        <v>201</v>
      </c>
      <c r="E239" s="297"/>
      <c r="F239" s="297"/>
      <c r="G239" s="297"/>
      <c r="H239" s="297"/>
      <c r="I239" s="297"/>
      <c r="J239" s="297"/>
      <c r="K239" s="297"/>
      <c r="L239" s="298"/>
      <c r="M239" s="103"/>
      <c r="N239" s="216" t="s">
        <v>289</v>
      </c>
      <c r="O239" s="297" t="s">
        <v>248</v>
      </c>
      <c r="P239" s="297"/>
      <c r="Q239" s="297"/>
      <c r="R239" s="297"/>
      <c r="S239" s="297"/>
      <c r="T239" s="297"/>
      <c r="U239" s="297"/>
      <c r="V239" s="298"/>
      <c r="W239" s="104"/>
      <c r="AB239" s="409"/>
      <c r="AC239" s="409"/>
      <c r="AD239" s="409"/>
      <c r="AE239" s="409"/>
      <c r="AF239" s="409"/>
      <c r="AG239" s="409"/>
    </row>
    <row r="240" spans="1:34" ht="12" customHeight="1" x14ac:dyDescent="0.25">
      <c r="A240" s="68"/>
      <c r="B240" s="190"/>
      <c r="C240" s="216" t="s">
        <v>289</v>
      </c>
      <c r="D240" s="297" t="s">
        <v>202</v>
      </c>
      <c r="E240" s="297"/>
      <c r="F240" s="297"/>
      <c r="G240" s="297"/>
      <c r="H240" s="297"/>
      <c r="I240" s="297"/>
      <c r="J240" s="297"/>
      <c r="K240" s="297"/>
      <c r="L240" s="298"/>
      <c r="M240" s="103"/>
      <c r="N240" s="216" t="s">
        <v>289</v>
      </c>
      <c r="O240" s="297" t="s">
        <v>249</v>
      </c>
      <c r="P240" s="297"/>
      <c r="Q240" s="297"/>
      <c r="R240" s="297"/>
      <c r="S240" s="297"/>
      <c r="T240" s="297"/>
      <c r="U240" s="297"/>
      <c r="V240" s="298"/>
      <c r="W240" s="104"/>
      <c r="AB240" s="409"/>
      <c r="AC240" s="409"/>
      <c r="AD240" s="409"/>
      <c r="AE240" s="409"/>
      <c r="AF240" s="409"/>
      <c r="AG240" s="409"/>
    </row>
    <row r="241" spans="1:39" ht="12" customHeight="1" x14ac:dyDescent="0.25">
      <c r="A241" s="68"/>
      <c r="B241" s="190"/>
      <c r="C241" s="216" t="s">
        <v>289</v>
      </c>
      <c r="D241" s="297" t="s">
        <v>203</v>
      </c>
      <c r="E241" s="297"/>
      <c r="F241" s="297"/>
      <c r="G241" s="297"/>
      <c r="H241" s="297"/>
      <c r="I241" s="297"/>
      <c r="J241" s="297"/>
      <c r="K241" s="297"/>
      <c r="L241" s="298"/>
      <c r="M241" s="103"/>
      <c r="N241" s="216" t="s">
        <v>289</v>
      </c>
      <c r="O241" s="297" t="s">
        <v>250</v>
      </c>
      <c r="P241" s="297"/>
      <c r="Q241" s="297"/>
      <c r="R241" s="297"/>
      <c r="S241" s="297"/>
      <c r="T241" s="297"/>
      <c r="U241" s="297"/>
      <c r="V241" s="298"/>
      <c r="W241" s="104"/>
      <c r="AA241" s="88"/>
    </row>
    <row r="242" spans="1:39" ht="12" customHeight="1" x14ac:dyDescent="0.25">
      <c r="A242" s="68"/>
      <c r="B242" s="105"/>
      <c r="C242" s="216" t="s">
        <v>289</v>
      </c>
      <c r="D242" s="297" t="s">
        <v>204</v>
      </c>
      <c r="E242" s="297"/>
      <c r="F242" s="297"/>
      <c r="G242" s="297"/>
      <c r="H242" s="297"/>
      <c r="I242" s="297"/>
      <c r="J242" s="297"/>
      <c r="K242" s="297"/>
      <c r="L242" s="298"/>
      <c r="M242" s="103"/>
      <c r="N242" s="216" t="s">
        <v>289</v>
      </c>
      <c r="O242" s="297" t="s">
        <v>251</v>
      </c>
      <c r="P242" s="297"/>
      <c r="Q242" s="297"/>
      <c r="R242" s="297"/>
      <c r="S242" s="297"/>
      <c r="T242" s="297"/>
      <c r="U242" s="297"/>
      <c r="V242" s="298"/>
      <c r="W242" s="104"/>
      <c r="AA242" s="5"/>
      <c r="AB242" s="180"/>
      <c r="AC242" s="180"/>
      <c r="AD242" s="180"/>
      <c r="AE242" s="5"/>
      <c r="AF242" s="5"/>
      <c r="AG242" s="5"/>
      <c r="AH242" s="204" t="s">
        <v>44</v>
      </c>
      <c r="AI242" s="205"/>
      <c r="AJ242" s="205"/>
      <c r="AK242" s="206"/>
      <c r="AL242" s="205"/>
      <c r="AM242" s="207"/>
    </row>
    <row r="243" spans="1:39" ht="12" customHeight="1" x14ac:dyDescent="0.25">
      <c r="A243" s="68"/>
      <c r="B243" s="105"/>
      <c r="C243" s="216" t="s">
        <v>288</v>
      </c>
      <c r="D243" s="297" t="s">
        <v>205</v>
      </c>
      <c r="E243" s="297"/>
      <c r="F243" s="297"/>
      <c r="G243" s="297"/>
      <c r="H243" s="297"/>
      <c r="I243" s="297"/>
      <c r="J243" s="297"/>
      <c r="K243" s="297"/>
      <c r="L243" s="298"/>
      <c r="M243" s="103"/>
      <c r="N243" s="216" t="s">
        <v>289</v>
      </c>
      <c r="O243" s="297" t="s">
        <v>252</v>
      </c>
      <c r="P243" s="297"/>
      <c r="Q243" s="297"/>
      <c r="R243" s="297"/>
      <c r="S243" s="297"/>
      <c r="T243" s="297"/>
      <c r="U243" s="297"/>
      <c r="V243" s="298"/>
      <c r="W243" s="104"/>
      <c r="AA243" s="5"/>
      <c r="AB243" s="185"/>
      <c r="AC243" s="189" t="s">
        <v>289</v>
      </c>
      <c r="AD243" s="18" t="s">
        <v>290</v>
      </c>
      <c r="AE243" s="294" t="s">
        <v>295</v>
      </c>
      <c r="AF243" s="294"/>
      <c r="AG243" s="294"/>
      <c r="AH243" s="208"/>
      <c r="AI243" s="199"/>
      <c r="AJ243" s="200"/>
      <c r="AK243" s="201"/>
      <c r="AL243" s="201"/>
      <c r="AM243" s="209"/>
    </row>
    <row r="244" spans="1:39" ht="12" customHeight="1" x14ac:dyDescent="0.25">
      <c r="A244" s="68"/>
      <c r="B244" s="105"/>
      <c r="C244" s="216" t="s">
        <v>289</v>
      </c>
      <c r="D244" s="297" t="s">
        <v>206</v>
      </c>
      <c r="E244" s="297"/>
      <c r="F244" s="297"/>
      <c r="G244" s="297"/>
      <c r="H244" s="297"/>
      <c r="I244" s="297"/>
      <c r="J244" s="297"/>
      <c r="K244" s="297"/>
      <c r="L244" s="298"/>
      <c r="M244" s="103"/>
      <c r="N244" s="216" t="s">
        <v>289</v>
      </c>
      <c r="O244" s="297" t="s">
        <v>253</v>
      </c>
      <c r="P244" s="297"/>
      <c r="Q244" s="297"/>
      <c r="R244" s="297"/>
      <c r="S244" s="297"/>
      <c r="T244" s="297"/>
      <c r="U244" s="297"/>
      <c r="V244" s="298"/>
      <c r="W244" s="104"/>
      <c r="AA244" s="5"/>
      <c r="AB244" s="185"/>
      <c r="AC244" s="198" t="s">
        <v>288</v>
      </c>
      <c r="AD244" s="197" t="s">
        <v>291</v>
      </c>
      <c r="AE244" s="294"/>
      <c r="AF244" s="294"/>
      <c r="AG244" s="294"/>
      <c r="AH244" s="210"/>
      <c r="AI244" s="202"/>
      <c r="AJ244" s="203"/>
      <c r="AK244" s="201"/>
      <c r="AL244" s="201"/>
      <c r="AM244" s="209"/>
    </row>
    <row r="245" spans="1:39" ht="12" customHeight="1" x14ac:dyDescent="0.25">
      <c r="A245" s="68"/>
      <c r="B245" s="105"/>
      <c r="C245" s="216" t="s">
        <v>289</v>
      </c>
      <c r="D245" s="297" t="s">
        <v>207</v>
      </c>
      <c r="E245" s="297"/>
      <c r="F245" s="297"/>
      <c r="G245" s="297"/>
      <c r="H245" s="297"/>
      <c r="I245" s="297"/>
      <c r="J245" s="297"/>
      <c r="K245" s="297"/>
      <c r="L245" s="298"/>
      <c r="M245" s="103"/>
      <c r="N245" s="216" t="s">
        <v>289</v>
      </c>
      <c r="O245" s="297" t="s">
        <v>254</v>
      </c>
      <c r="P245" s="297"/>
      <c r="Q245" s="297"/>
      <c r="R245" s="297"/>
      <c r="S245" s="297"/>
      <c r="T245" s="297"/>
      <c r="U245" s="297"/>
      <c r="V245" s="298"/>
      <c r="W245" s="104"/>
      <c r="AA245" s="5"/>
      <c r="AB245" s="185"/>
      <c r="AC245" s="189" t="s">
        <v>289</v>
      </c>
      <c r="AD245" s="18" t="s">
        <v>292</v>
      </c>
      <c r="AE245" s="294"/>
      <c r="AF245" s="294"/>
      <c r="AG245" s="294"/>
      <c r="AH245" s="208"/>
      <c r="AI245" s="199"/>
      <c r="AJ245" s="200"/>
      <c r="AK245" s="201"/>
      <c r="AL245" s="201"/>
      <c r="AM245" s="209"/>
    </row>
    <row r="246" spans="1:39" ht="12" customHeight="1" x14ac:dyDescent="0.25">
      <c r="A246" s="68"/>
      <c r="B246" s="105"/>
      <c r="C246" s="216" t="s">
        <v>289</v>
      </c>
      <c r="D246" s="297" t="s">
        <v>208</v>
      </c>
      <c r="E246" s="297"/>
      <c r="F246" s="297"/>
      <c r="G246" s="297"/>
      <c r="H246" s="297"/>
      <c r="I246" s="297"/>
      <c r="J246" s="297"/>
      <c r="K246" s="297"/>
      <c r="L246" s="298"/>
      <c r="M246" s="103"/>
      <c r="N246" s="216" t="s">
        <v>289</v>
      </c>
      <c r="O246" s="297" t="s">
        <v>255</v>
      </c>
      <c r="P246" s="297"/>
      <c r="Q246" s="297"/>
      <c r="R246" s="297"/>
      <c r="S246" s="297"/>
      <c r="T246" s="297"/>
      <c r="U246" s="297"/>
      <c r="V246" s="298"/>
      <c r="W246" s="104"/>
      <c r="AA246" s="5"/>
      <c r="AB246" s="185"/>
      <c r="AC246" s="185"/>
      <c r="AD246" s="18"/>
      <c r="AE246" s="294"/>
      <c r="AF246" s="294"/>
      <c r="AG246" s="294"/>
      <c r="AH246" s="210"/>
      <c r="AI246" s="202"/>
      <c r="AJ246" s="203"/>
      <c r="AK246" s="201"/>
      <c r="AL246" s="201"/>
      <c r="AM246" s="209"/>
    </row>
    <row r="247" spans="1:39" ht="12" customHeight="1" x14ac:dyDescent="0.25">
      <c r="A247" s="68"/>
      <c r="B247" s="105"/>
      <c r="C247" s="216" t="s">
        <v>289</v>
      </c>
      <c r="D247" s="297" t="s">
        <v>209</v>
      </c>
      <c r="E247" s="297"/>
      <c r="F247" s="297"/>
      <c r="G247" s="297"/>
      <c r="H247" s="297"/>
      <c r="I247" s="297"/>
      <c r="J247" s="297"/>
      <c r="K247" s="297"/>
      <c r="L247" s="298"/>
      <c r="M247" s="103"/>
      <c r="N247" s="216" t="s">
        <v>289</v>
      </c>
      <c r="O247" s="297" t="s">
        <v>256</v>
      </c>
      <c r="P247" s="297"/>
      <c r="Q247" s="297"/>
      <c r="R247" s="297"/>
      <c r="S247" s="297"/>
      <c r="T247" s="297"/>
      <c r="U247" s="297"/>
      <c r="V247" s="298"/>
      <c r="W247" s="104"/>
      <c r="AA247" s="5"/>
      <c r="AD247" s="18"/>
      <c r="AE247" s="5"/>
      <c r="AF247" s="187"/>
      <c r="AG247" s="187"/>
      <c r="AH247" s="211"/>
      <c r="AI247" s="212"/>
      <c r="AJ247" s="213"/>
      <c r="AK247" s="214"/>
      <c r="AL247" s="214"/>
      <c r="AM247" s="215"/>
    </row>
    <row r="248" spans="1:39" ht="12" customHeight="1" x14ac:dyDescent="0.25">
      <c r="A248" s="68"/>
      <c r="B248" s="105"/>
      <c r="C248" s="216" t="s">
        <v>289</v>
      </c>
      <c r="D248" s="297" t="s">
        <v>210</v>
      </c>
      <c r="E248" s="297"/>
      <c r="F248" s="297"/>
      <c r="G248" s="297"/>
      <c r="H248" s="297"/>
      <c r="I248" s="297"/>
      <c r="J248" s="297"/>
      <c r="K248" s="297"/>
      <c r="L248" s="298"/>
      <c r="M248" s="103"/>
      <c r="N248" s="216" t="s">
        <v>289</v>
      </c>
      <c r="O248" s="297" t="s">
        <v>257</v>
      </c>
      <c r="P248" s="297"/>
      <c r="Q248" s="297"/>
      <c r="R248" s="297"/>
      <c r="S248" s="297"/>
      <c r="T248" s="297"/>
      <c r="U248" s="297"/>
      <c r="V248" s="298"/>
      <c r="W248" s="104"/>
      <c r="AA248" s="5"/>
      <c r="AD248" s="18"/>
      <c r="AE248" s="5"/>
      <c r="AF248" s="188"/>
      <c r="AG248" s="188"/>
      <c r="AH248" s="188"/>
      <c r="AI248" s="188"/>
      <c r="AJ248" s="184"/>
      <c r="AK248" s="186"/>
      <c r="AL248" s="186"/>
      <c r="AM248" s="186"/>
    </row>
    <row r="249" spans="1:39" ht="12" customHeight="1" x14ac:dyDescent="0.25">
      <c r="A249" s="68"/>
      <c r="B249" s="190"/>
      <c r="C249" s="216" t="s">
        <v>289</v>
      </c>
      <c r="D249" s="297" t="s">
        <v>211</v>
      </c>
      <c r="E249" s="297"/>
      <c r="F249" s="297"/>
      <c r="G249" s="297"/>
      <c r="H249" s="297"/>
      <c r="I249" s="297"/>
      <c r="J249" s="297"/>
      <c r="K249" s="297"/>
      <c r="L249" s="298"/>
      <c r="M249" s="103"/>
      <c r="N249" s="216" t="s">
        <v>289</v>
      </c>
      <c r="O249" s="297" t="s">
        <v>258</v>
      </c>
      <c r="P249" s="297"/>
      <c r="Q249" s="297"/>
      <c r="R249" s="297"/>
      <c r="S249" s="297"/>
      <c r="T249" s="297"/>
      <c r="U249" s="297"/>
      <c r="V249" s="298"/>
      <c r="W249" s="104"/>
      <c r="AA249" s="5"/>
      <c r="AB249" s="191"/>
      <c r="AC249" s="7" t="s">
        <v>194</v>
      </c>
      <c r="AD249" s="180"/>
      <c r="AE249" s="5"/>
      <c r="AF249" s="5"/>
      <c r="AG249" s="5"/>
      <c r="AH249" s="5"/>
      <c r="AI249" s="5"/>
      <c r="AJ249" s="5"/>
      <c r="AK249" s="47"/>
      <c r="AL249" s="5"/>
      <c r="AM249" s="5"/>
    </row>
    <row r="250" spans="1:39" ht="12" customHeight="1" x14ac:dyDescent="0.25">
      <c r="A250" s="68"/>
      <c r="B250" s="105"/>
      <c r="C250" s="216" t="s">
        <v>289</v>
      </c>
      <c r="D250" s="297" t="s">
        <v>212</v>
      </c>
      <c r="E250" s="297"/>
      <c r="F250" s="297"/>
      <c r="G250" s="297"/>
      <c r="H250" s="297"/>
      <c r="I250" s="297"/>
      <c r="J250" s="297"/>
      <c r="K250" s="297"/>
      <c r="L250" s="298"/>
      <c r="M250" s="103"/>
      <c r="N250" s="216" t="s">
        <v>289</v>
      </c>
      <c r="O250" s="297" t="s">
        <v>259</v>
      </c>
      <c r="P250" s="297"/>
      <c r="Q250" s="297"/>
      <c r="R250" s="297"/>
      <c r="S250" s="297"/>
      <c r="T250" s="297"/>
      <c r="U250" s="297"/>
      <c r="V250" s="298"/>
      <c r="W250" s="104"/>
      <c r="AC250" s="171" t="s">
        <v>195</v>
      </c>
      <c r="AE250" s="5"/>
      <c r="AG250" s="85"/>
    </row>
    <row r="251" spans="1:39" ht="12" customHeight="1" x14ac:dyDescent="0.25">
      <c r="A251" s="68"/>
      <c r="B251" s="303">
        <v>2</v>
      </c>
      <c r="C251" s="304"/>
      <c r="D251" s="514" t="s">
        <v>63</v>
      </c>
      <c r="E251" s="515"/>
      <c r="F251" s="515"/>
      <c r="G251" s="515"/>
      <c r="H251" s="515"/>
      <c r="I251" s="515"/>
      <c r="J251" s="515"/>
      <c r="K251" s="515"/>
      <c r="L251" s="192"/>
      <c r="M251" s="103"/>
      <c r="N251" s="216" t="s">
        <v>289</v>
      </c>
      <c r="O251" s="297" t="s">
        <v>260</v>
      </c>
      <c r="P251" s="297"/>
      <c r="Q251" s="297"/>
      <c r="R251" s="297"/>
      <c r="S251" s="297"/>
      <c r="T251" s="297"/>
      <c r="U251" s="297"/>
      <c r="V251" s="298"/>
      <c r="W251" s="104"/>
      <c r="AG251" s="85"/>
    </row>
    <row r="252" spans="1:39" ht="12" customHeight="1" thickBot="1" x14ac:dyDescent="0.3">
      <c r="A252" s="68"/>
      <c r="B252" s="103"/>
      <c r="C252" s="216" t="s">
        <v>289</v>
      </c>
      <c r="D252" s="297" t="s">
        <v>215</v>
      </c>
      <c r="E252" s="297"/>
      <c r="F252" s="297"/>
      <c r="G252" s="297"/>
      <c r="H252" s="297"/>
      <c r="I252" s="297"/>
      <c r="J252" s="297"/>
      <c r="K252" s="297"/>
      <c r="L252" s="298"/>
      <c r="M252" s="106"/>
      <c r="N252" s="219" t="s">
        <v>289</v>
      </c>
      <c r="O252" s="299" t="s">
        <v>261</v>
      </c>
      <c r="P252" s="299"/>
      <c r="Q252" s="299"/>
      <c r="R252" s="299"/>
      <c r="S252" s="299"/>
      <c r="T252" s="299"/>
      <c r="U252" s="299"/>
      <c r="V252" s="300"/>
      <c r="W252" s="104"/>
    </row>
    <row r="253" spans="1:39" ht="12" customHeight="1" x14ac:dyDescent="0.25">
      <c r="A253" s="68"/>
      <c r="B253" s="105"/>
      <c r="C253" s="216" t="s">
        <v>289</v>
      </c>
      <c r="D253" s="297" t="s">
        <v>216</v>
      </c>
      <c r="E253" s="297"/>
      <c r="F253" s="297"/>
      <c r="G253" s="297"/>
      <c r="H253" s="297"/>
      <c r="I253" s="297"/>
      <c r="J253" s="297"/>
      <c r="K253" s="297"/>
      <c r="L253" s="298"/>
      <c r="M253" s="402">
        <v>4</v>
      </c>
      <c r="N253" s="403"/>
      <c r="O253" s="535" t="s">
        <v>68</v>
      </c>
      <c r="P253" s="536"/>
      <c r="Q253" s="536"/>
      <c r="R253" s="536"/>
      <c r="S253" s="536"/>
      <c r="T253" s="536"/>
      <c r="U253" s="536"/>
      <c r="V253" s="193"/>
      <c r="W253" s="104"/>
    </row>
    <row r="254" spans="1:39" ht="12" customHeight="1" x14ac:dyDescent="0.25">
      <c r="A254" s="68"/>
      <c r="B254" s="190"/>
      <c r="C254" s="216" t="s">
        <v>289</v>
      </c>
      <c r="D254" s="297" t="s">
        <v>217</v>
      </c>
      <c r="E254" s="297"/>
      <c r="F254" s="297"/>
      <c r="G254" s="297"/>
      <c r="H254" s="297"/>
      <c r="I254" s="297"/>
      <c r="J254" s="297"/>
      <c r="K254" s="297"/>
      <c r="L254" s="298"/>
      <c r="M254" s="103"/>
      <c r="N254" s="217" t="s">
        <v>289</v>
      </c>
      <c r="O254" s="297" t="s">
        <v>262</v>
      </c>
      <c r="P254" s="297"/>
      <c r="Q254" s="297"/>
      <c r="R254" s="297"/>
      <c r="S254" s="297"/>
      <c r="T254" s="297"/>
      <c r="U254" s="297"/>
      <c r="V254" s="298"/>
      <c r="W254" s="104"/>
    </row>
    <row r="255" spans="1:39" ht="12" customHeight="1" x14ac:dyDescent="0.25">
      <c r="A255" s="68"/>
      <c r="B255" s="190"/>
      <c r="C255" s="216" t="s">
        <v>289</v>
      </c>
      <c r="D255" s="297" t="s">
        <v>218</v>
      </c>
      <c r="E255" s="297"/>
      <c r="F255" s="297"/>
      <c r="G255" s="297"/>
      <c r="H255" s="297"/>
      <c r="I255" s="297"/>
      <c r="J255" s="297"/>
      <c r="K255" s="297"/>
      <c r="L255" s="298"/>
      <c r="M255" s="103"/>
      <c r="N255" s="217" t="s">
        <v>289</v>
      </c>
      <c r="O255" s="297" t="s">
        <v>263</v>
      </c>
      <c r="P255" s="297"/>
      <c r="Q255" s="297"/>
      <c r="R255" s="297"/>
      <c r="S255" s="297"/>
      <c r="T255" s="297"/>
      <c r="U255" s="297"/>
      <c r="V255" s="298"/>
      <c r="W255" s="104"/>
    </row>
    <row r="256" spans="1:39" ht="12" customHeight="1" x14ac:dyDescent="0.25">
      <c r="A256" s="68"/>
      <c r="B256" s="105"/>
      <c r="C256" s="216" t="s">
        <v>289</v>
      </c>
      <c r="D256" s="297" t="s">
        <v>219</v>
      </c>
      <c r="E256" s="297"/>
      <c r="F256" s="297"/>
      <c r="G256" s="297"/>
      <c r="H256" s="297"/>
      <c r="I256" s="297"/>
      <c r="J256" s="297"/>
      <c r="K256" s="297"/>
      <c r="L256" s="298"/>
      <c r="M256" s="103"/>
      <c r="N256" s="217" t="s">
        <v>289</v>
      </c>
      <c r="O256" s="297" t="s">
        <v>264</v>
      </c>
      <c r="P256" s="297"/>
      <c r="Q256" s="297"/>
      <c r="R256" s="297"/>
      <c r="S256" s="297"/>
      <c r="T256" s="297"/>
      <c r="U256" s="297"/>
      <c r="V256" s="298"/>
      <c r="W256" s="104"/>
    </row>
    <row r="257" spans="1:27" ht="12" customHeight="1" x14ac:dyDescent="0.25">
      <c r="A257" s="68"/>
      <c r="B257" s="105"/>
      <c r="C257" s="216" t="s">
        <v>289</v>
      </c>
      <c r="D257" s="297" t="s">
        <v>220</v>
      </c>
      <c r="E257" s="297"/>
      <c r="F257" s="297"/>
      <c r="G257" s="297"/>
      <c r="H257" s="297"/>
      <c r="I257" s="297"/>
      <c r="J257" s="297"/>
      <c r="K257" s="297"/>
      <c r="L257" s="298"/>
      <c r="M257" s="103"/>
      <c r="N257" s="217" t="s">
        <v>289</v>
      </c>
      <c r="O257" s="297" t="s">
        <v>265</v>
      </c>
      <c r="P257" s="297"/>
      <c r="Q257" s="297"/>
      <c r="R257" s="297"/>
      <c r="S257" s="297"/>
      <c r="T257" s="297"/>
      <c r="U257" s="297"/>
      <c r="V257" s="298"/>
      <c r="W257" s="104"/>
    </row>
    <row r="258" spans="1:27" ht="12" customHeight="1" x14ac:dyDescent="0.25">
      <c r="A258" s="68"/>
      <c r="B258" s="105"/>
      <c r="C258" s="216" t="s">
        <v>289</v>
      </c>
      <c r="D258" s="297" t="s">
        <v>221</v>
      </c>
      <c r="E258" s="297"/>
      <c r="F258" s="297"/>
      <c r="G258" s="297"/>
      <c r="H258" s="297"/>
      <c r="I258" s="297"/>
      <c r="J258" s="297"/>
      <c r="K258" s="297"/>
      <c r="L258" s="298"/>
      <c r="M258" s="103"/>
      <c r="N258" s="217" t="s">
        <v>289</v>
      </c>
      <c r="O258" s="297" t="s">
        <v>266</v>
      </c>
      <c r="P258" s="297"/>
      <c r="Q258" s="297"/>
      <c r="R258" s="297"/>
      <c r="S258" s="297"/>
      <c r="T258" s="297"/>
      <c r="U258" s="297"/>
      <c r="V258" s="298"/>
      <c r="W258" s="104"/>
    </row>
    <row r="259" spans="1:27" ht="12" customHeight="1" x14ac:dyDescent="0.25">
      <c r="A259" s="68"/>
      <c r="B259" s="105"/>
      <c r="C259" s="216" t="s">
        <v>289</v>
      </c>
      <c r="D259" s="297" t="s">
        <v>222</v>
      </c>
      <c r="E259" s="297"/>
      <c r="F259" s="297"/>
      <c r="G259" s="297"/>
      <c r="H259" s="297"/>
      <c r="I259" s="297"/>
      <c r="J259" s="297"/>
      <c r="K259" s="297"/>
      <c r="L259" s="298"/>
      <c r="M259" s="103"/>
      <c r="N259" s="217" t="s">
        <v>289</v>
      </c>
      <c r="O259" s="297" t="s">
        <v>267</v>
      </c>
      <c r="P259" s="297"/>
      <c r="Q259" s="297"/>
      <c r="R259" s="297"/>
      <c r="S259" s="297"/>
      <c r="T259" s="297"/>
      <c r="U259" s="297"/>
      <c r="V259" s="298"/>
      <c r="W259" s="104"/>
    </row>
    <row r="260" spans="1:27" ht="12" customHeight="1" x14ac:dyDescent="0.25">
      <c r="A260" s="68"/>
      <c r="B260" s="105"/>
      <c r="C260" s="216" t="s">
        <v>289</v>
      </c>
      <c r="D260" s="297" t="s">
        <v>223</v>
      </c>
      <c r="E260" s="297"/>
      <c r="F260" s="297"/>
      <c r="G260" s="297"/>
      <c r="H260" s="297"/>
      <c r="I260" s="297"/>
      <c r="J260" s="297"/>
      <c r="K260" s="297"/>
      <c r="L260" s="298"/>
      <c r="M260" s="103"/>
      <c r="N260" s="217" t="s">
        <v>289</v>
      </c>
      <c r="O260" s="297" t="s">
        <v>268</v>
      </c>
      <c r="P260" s="297"/>
      <c r="Q260" s="297"/>
      <c r="R260" s="297"/>
      <c r="S260" s="297"/>
      <c r="T260" s="297"/>
      <c r="U260" s="297"/>
      <c r="V260" s="298"/>
      <c r="W260" s="104"/>
    </row>
    <row r="261" spans="1:27" ht="12" customHeight="1" x14ac:dyDescent="0.25">
      <c r="A261" s="68"/>
      <c r="B261" s="105"/>
      <c r="C261" s="216" t="s">
        <v>289</v>
      </c>
      <c r="D261" s="297" t="s">
        <v>224</v>
      </c>
      <c r="E261" s="297"/>
      <c r="F261" s="297"/>
      <c r="G261" s="297"/>
      <c r="H261" s="297"/>
      <c r="I261" s="297"/>
      <c r="J261" s="297"/>
      <c r="K261" s="297"/>
      <c r="L261" s="298"/>
      <c r="M261" s="103"/>
      <c r="N261" s="217" t="s">
        <v>289</v>
      </c>
      <c r="O261" s="297" t="s">
        <v>269</v>
      </c>
      <c r="P261" s="297"/>
      <c r="Q261" s="297"/>
      <c r="R261" s="297"/>
      <c r="S261" s="297"/>
      <c r="T261" s="297"/>
      <c r="U261" s="297"/>
      <c r="V261" s="298"/>
      <c r="W261" s="104"/>
    </row>
    <row r="262" spans="1:27" ht="12" customHeight="1" x14ac:dyDescent="0.25">
      <c r="A262" s="68"/>
      <c r="B262" s="105"/>
      <c r="C262" s="216" t="s">
        <v>289</v>
      </c>
      <c r="D262" s="297" t="s">
        <v>225</v>
      </c>
      <c r="E262" s="297"/>
      <c r="F262" s="297"/>
      <c r="G262" s="297"/>
      <c r="H262" s="297"/>
      <c r="I262" s="297"/>
      <c r="J262" s="297"/>
      <c r="K262" s="297"/>
      <c r="L262" s="298"/>
      <c r="M262" s="103"/>
      <c r="N262" s="217" t="s">
        <v>289</v>
      </c>
      <c r="O262" s="297" t="s">
        <v>270</v>
      </c>
      <c r="P262" s="297"/>
      <c r="Q262" s="297"/>
      <c r="R262" s="297"/>
      <c r="S262" s="297"/>
      <c r="T262" s="297"/>
      <c r="U262" s="297"/>
      <c r="V262" s="298"/>
      <c r="W262" s="104"/>
    </row>
    <row r="263" spans="1:27" ht="12" customHeight="1" x14ac:dyDescent="0.25">
      <c r="A263" s="68"/>
      <c r="B263" s="105"/>
      <c r="C263" s="216" t="s">
        <v>289</v>
      </c>
      <c r="D263" s="297" t="s">
        <v>226</v>
      </c>
      <c r="E263" s="297"/>
      <c r="F263" s="297"/>
      <c r="G263" s="297"/>
      <c r="H263" s="297"/>
      <c r="I263" s="297"/>
      <c r="J263" s="297"/>
      <c r="K263" s="297"/>
      <c r="L263" s="298"/>
      <c r="M263" s="103"/>
      <c r="N263" s="217" t="s">
        <v>289</v>
      </c>
      <c r="O263" s="297" t="s">
        <v>271</v>
      </c>
      <c r="P263" s="297"/>
      <c r="Q263" s="297"/>
      <c r="R263" s="297"/>
      <c r="S263" s="297"/>
      <c r="T263" s="297"/>
      <c r="U263" s="297"/>
      <c r="V263" s="298"/>
      <c r="W263" s="104"/>
    </row>
    <row r="264" spans="1:27" ht="12" customHeight="1" x14ac:dyDescent="0.25">
      <c r="A264" s="68"/>
      <c r="B264" s="105"/>
      <c r="C264" s="216" t="s">
        <v>289</v>
      </c>
      <c r="D264" s="297" t="s">
        <v>227</v>
      </c>
      <c r="E264" s="297"/>
      <c r="F264" s="297"/>
      <c r="G264" s="297"/>
      <c r="H264" s="297"/>
      <c r="I264" s="297"/>
      <c r="J264" s="297"/>
      <c r="K264" s="297"/>
      <c r="L264" s="298"/>
      <c r="M264" s="103"/>
      <c r="N264" s="217" t="s">
        <v>289</v>
      </c>
      <c r="O264" s="297" t="s">
        <v>272</v>
      </c>
      <c r="P264" s="297"/>
      <c r="Q264" s="297"/>
      <c r="R264" s="297"/>
      <c r="S264" s="297"/>
      <c r="T264" s="297"/>
      <c r="U264" s="297"/>
      <c r="V264" s="298"/>
      <c r="W264" s="104"/>
    </row>
    <row r="265" spans="1:27" ht="12" customHeight="1" x14ac:dyDescent="0.25">
      <c r="A265" s="68"/>
      <c r="B265" s="105"/>
      <c r="C265" s="216" t="s">
        <v>289</v>
      </c>
      <c r="D265" s="297" t="s">
        <v>228</v>
      </c>
      <c r="E265" s="297"/>
      <c r="F265" s="297"/>
      <c r="G265" s="297"/>
      <c r="H265" s="297"/>
      <c r="I265" s="297"/>
      <c r="J265" s="297"/>
      <c r="K265" s="297"/>
      <c r="L265" s="298"/>
      <c r="M265" s="103"/>
      <c r="N265" s="217" t="s">
        <v>289</v>
      </c>
      <c r="O265" s="297" t="s">
        <v>273</v>
      </c>
      <c r="P265" s="297"/>
      <c r="Q265" s="297"/>
      <c r="R265" s="297"/>
      <c r="S265" s="297"/>
      <c r="T265" s="297"/>
      <c r="U265" s="297"/>
      <c r="V265" s="298"/>
      <c r="W265" s="104"/>
      <c r="AA265" s="7"/>
    </row>
    <row r="266" spans="1:27" ht="12" customHeight="1" x14ac:dyDescent="0.25">
      <c r="A266" s="68"/>
      <c r="B266" s="105"/>
      <c r="C266" s="216" t="s">
        <v>289</v>
      </c>
      <c r="D266" s="297" t="s">
        <v>229</v>
      </c>
      <c r="E266" s="297"/>
      <c r="F266" s="297"/>
      <c r="G266" s="297"/>
      <c r="H266" s="297"/>
      <c r="I266" s="297"/>
      <c r="J266" s="297"/>
      <c r="K266" s="297"/>
      <c r="L266" s="298"/>
      <c r="M266" s="103"/>
      <c r="N266" s="217" t="s">
        <v>289</v>
      </c>
      <c r="O266" s="297" t="s">
        <v>274</v>
      </c>
      <c r="P266" s="297"/>
      <c r="Q266" s="297"/>
      <c r="R266" s="297"/>
      <c r="S266" s="297"/>
      <c r="T266" s="297"/>
      <c r="U266" s="297"/>
      <c r="V266" s="298"/>
      <c r="W266" s="104"/>
      <c r="AA266" s="7"/>
    </row>
    <row r="267" spans="1:27" ht="12" customHeight="1" x14ac:dyDescent="0.25">
      <c r="A267" s="68"/>
      <c r="B267" s="105"/>
      <c r="C267" s="216" t="s">
        <v>289</v>
      </c>
      <c r="D267" s="297" t="s">
        <v>230</v>
      </c>
      <c r="E267" s="297"/>
      <c r="F267" s="297"/>
      <c r="G267" s="297"/>
      <c r="H267" s="297"/>
      <c r="I267" s="297"/>
      <c r="J267" s="297"/>
      <c r="K267" s="297"/>
      <c r="L267" s="298"/>
      <c r="M267" s="400">
        <v>5</v>
      </c>
      <c r="N267" s="401"/>
      <c r="O267" s="376" t="s">
        <v>70</v>
      </c>
      <c r="P267" s="377"/>
      <c r="Q267" s="377"/>
      <c r="R267" s="377"/>
      <c r="S267" s="377"/>
      <c r="T267" s="377"/>
      <c r="U267" s="377"/>
      <c r="V267" s="194"/>
      <c r="W267" s="104"/>
      <c r="AA267" s="7"/>
    </row>
    <row r="268" spans="1:27" ht="12" customHeight="1" x14ac:dyDescent="0.25">
      <c r="A268" s="68"/>
      <c r="B268" s="105"/>
      <c r="C268" s="216" t="s">
        <v>289</v>
      </c>
      <c r="D268" s="297" t="s">
        <v>231</v>
      </c>
      <c r="E268" s="297"/>
      <c r="F268" s="297"/>
      <c r="G268" s="297"/>
      <c r="H268" s="297"/>
      <c r="I268" s="297"/>
      <c r="J268" s="297"/>
      <c r="K268" s="297"/>
      <c r="L268" s="298"/>
      <c r="M268" s="103"/>
      <c r="N268" s="217" t="s">
        <v>289</v>
      </c>
      <c r="O268" s="297" t="s">
        <v>276</v>
      </c>
      <c r="P268" s="297"/>
      <c r="Q268" s="297"/>
      <c r="R268" s="297"/>
      <c r="S268" s="297"/>
      <c r="T268" s="297"/>
      <c r="U268" s="297"/>
      <c r="V268" s="298"/>
      <c r="W268" s="104"/>
      <c r="AA268" s="7"/>
    </row>
    <row r="269" spans="1:27" ht="12" customHeight="1" x14ac:dyDescent="0.25">
      <c r="A269" s="68"/>
      <c r="B269" s="190"/>
      <c r="C269" s="216" t="s">
        <v>288</v>
      </c>
      <c r="D269" s="297" t="s">
        <v>232</v>
      </c>
      <c r="E269" s="297"/>
      <c r="F269" s="297"/>
      <c r="G269" s="297"/>
      <c r="H269" s="297"/>
      <c r="I269" s="297"/>
      <c r="J269" s="297"/>
      <c r="K269" s="297"/>
      <c r="L269" s="298"/>
      <c r="M269" s="103"/>
      <c r="N269" s="217" t="s">
        <v>289</v>
      </c>
      <c r="O269" s="297" t="s">
        <v>277</v>
      </c>
      <c r="P269" s="297"/>
      <c r="Q269" s="297"/>
      <c r="R269" s="297"/>
      <c r="S269" s="297"/>
      <c r="T269" s="297"/>
      <c r="U269" s="297"/>
      <c r="V269" s="298"/>
      <c r="W269" s="104"/>
    </row>
    <row r="270" spans="1:27" ht="12" customHeight="1" x14ac:dyDescent="0.25">
      <c r="A270" s="68"/>
      <c r="B270" s="105"/>
      <c r="C270" s="216" t="s">
        <v>289</v>
      </c>
      <c r="D270" s="297" t="s">
        <v>233</v>
      </c>
      <c r="E270" s="297"/>
      <c r="F270" s="297"/>
      <c r="G270" s="297"/>
      <c r="H270" s="297"/>
      <c r="I270" s="297"/>
      <c r="J270" s="297"/>
      <c r="K270" s="297"/>
      <c r="L270" s="298"/>
      <c r="M270" s="103"/>
      <c r="N270" s="217" t="s">
        <v>289</v>
      </c>
      <c r="O270" s="297" t="s">
        <v>278</v>
      </c>
      <c r="P270" s="297"/>
      <c r="Q270" s="297"/>
      <c r="R270" s="297"/>
      <c r="S270" s="297"/>
      <c r="T270" s="297"/>
      <c r="U270" s="297"/>
      <c r="V270" s="298"/>
      <c r="W270" s="104"/>
    </row>
    <row r="271" spans="1:27" ht="12" customHeight="1" x14ac:dyDescent="0.25">
      <c r="A271" s="68"/>
      <c r="B271" s="190"/>
      <c r="C271" s="216" t="s">
        <v>289</v>
      </c>
      <c r="D271" s="297" t="s">
        <v>234</v>
      </c>
      <c r="E271" s="297"/>
      <c r="F271" s="297"/>
      <c r="G271" s="297"/>
      <c r="H271" s="297"/>
      <c r="I271" s="297"/>
      <c r="J271" s="297"/>
      <c r="K271" s="297"/>
      <c r="L271" s="298"/>
      <c r="M271" s="103"/>
      <c r="N271" s="217" t="s">
        <v>289</v>
      </c>
      <c r="O271" s="297" t="s">
        <v>279</v>
      </c>
      <c r="P271" s="297"/>
      <c r="Q271" s="297"/>
      <c r="R271" s="297"/>
      <c r="S271" s="297"/>
      <c r="T271" s="297"/>
      <c r="U271" s="297"/>
      <c r="V271" s="298"/>
      <c r="W271" s="104"/>
    </row>
    <row r="272" spans="1:27" ht="12" customHeight="1" x14ac:dyDescent="0.25">
      <c r="A272" s="68"/>
      <c r="B272" s="105"/>
      <c r="C272" s="216" t="s">
        <v>289</v>
      </c>
      <c r="D272" s="297" t="s">
        <v>235</v>
      </c>
      <c r="E272" s="297"/>
      <c r="F272" s="297"/>
      <c r="G272" s="297"/>
      <c r="H272" s="297"/>
      <c r="I272" s="297"/>
      <c r="J272" s="297"/>
      <c r="K272" s="297"/>
      <c r="L272" s="298"/>
      <c r="M272" s="103"/>
      <c r="N272" s="217" t="s">
        <v>289</v>
      </c>
      <c r="O272" s="297" t="s">
        <v>280</v>
      </c>
      <c r="P272" s="297"/>
      <c r="Q272" s="297"/>
      <c r="R272" s="297"/>
      <c r="S272" s="297"/>
      <c r="T272" s="297"/>
      <c r="U272" s="297"/>
      <c r="V272" s="298"/>
      <c r="W272" s="104"/>
    </row>
    <row r="273" spans="1:42" ht="12" customHeight="1" x14ac:dyDescent="0.25">
      <c r="A273" s="68"/>
      <c r="B273" s="190"/>
      <c r="C273" s="216" t="s">
        <v>288</v>
      </c>
      <c r="D273" s="297" t="s">
        <v>214</v>
      </c>
      <c r="E273" s="297"/>
      <c r="F273" s="297"/>
      <c r="G273" s="297"/>
      <c r="H273" s="297"/>
      <c r="I273" s="297"/>
      <c r="J273" s="297"/>
      <c r="K273" s="297"/>
      <c r="L273" s="298"/>
      <c r="M273" s="103"/>
      <c r="N273" s="217" t="s">
        <v>289</v>
      </c>
      <c r="O273" s="297" t="s">
        <v>281</v>
      </c>
      <c r="P273" s="297"/>
      <c r="Q273" s="297"/>
      <c r="R273" s="297"/>
      <c r="S273" s="297"/>
      <c r="T273" s="297"/>
      <c r="U273" s="297"/>
      <c r="V273" s="298"/>
      <c r="W273" s="104"/>
    </row>
    <row r="274" spans="1:42" ht="12" customHeight="1" x14ac:dyDescent="0.25">
      <c r="A274" s="68"/>
      <c r="B274" s="301">
        <v>3</v>
      </c>
      <c r="C274" s="302"/>
      <c r="D274" s="380" t="s">
        <v>65</v>
      </c>
      <c r="E274" s="381"/>
      <c r="F274" s="381"/>
      <c r="G274" s="381"/>
      <c r="H274" s="381"/>
      <c r="I274" s="381"/>
      <c r="J274" s="381"/>
      <c r="K274" s="381"/>
      <c r="L274" s="108"/>
      <c r="M274" s="103"/>
      <c r="N274" s="217" t="s">
        <v>289</v>
      </c>
      <c r="O274" s="297" t="s">
        <v>282</v>
      </c>
      <c r="P274" s="297"/>
      <c r="Q274" s="297"/>
      <c r="R274" s="297"/>
      <c r="S274" s="297"/>
      <c r="T274" s="297"/>
      <c r="U274" s="297"/>
      <c r="V274" s="298"/>
      <c r="W274" s="104"/>
    </row>
    <row r="275" spans="1:42" ht="12" customHeight="1" x14ac:dyDescent="0.25">
      <c r="A275" s="68"/>
      <c r="B275" s="103"/>
      <c r="C275" s="217" t="s">
        <v>289</v>
      </c>
      <c r="D275" s="297" t="s">
        <v>237</v>
      </c>
      <c r="E275" s="297"/>
      <c r="F275" s="297"/>
      <c r="G275" s="297"/>
      <c r="H275" s="297"/>
      <c r="I275" s="297"/>
      <c r="J275" s="297"/>
      <c r="K275" s="297"/>
      <c r="L275" s="298"/>
      <c r="M275" s="103"/>
      <c r="N275" s="217" t="s">
        <v>289</v>
      </c>
      <c r="O275" s="297" t="s">
        <v>283</v>
      </c>
      <c r="P275" s="297"/>
      <c r="Q275" s="297"/>
      <c r="R275" s="297"/>
      <c r="S275" s="297"/>
      <c r="T275" s="297"/>
      <c r="U275" s="297"/>
      <c r="V275" s="298"/>
      <c r="W275" s="104"/>
    </row>
    <row r="276" spans="1:42" ht="12" customHeight="1" x14ac:dyDescent="0.25">
      <c r="A276" s="68"/>
      <c r="B276" s="103"/>
      <c r="C276" s="217" t="s">
        <v>289</v>
      </c>
      <c r="D276" s="297" t="s">
        <v>238</v>
      </c>
      <c r="E276" s="297"/>
      <c r="F276" s="297"/>
      <c r="G276" s="297"/>
      <c r="H276" s="297"/>
      <c r="I276" s="297"/>
      <c r="J276" s="297"/>
      <c r="K276" s="297"/>
      <c r="L276" s="298"/>
      <c r="M276" s="103"/>
      <c r="N276" s="217" t="s">
        <v>289</v>
      </c>
      <c r="O276" s="297" t="s">
        <v>284</v>
      </c>
      <c r="P276" s="297"/>
      <c r="Q276" s="297"/>
      <c r="R276" s="297"/>
      <c r="S276" s="297"/>
      <c r="T276" s="297"/>
      <c r="U276" s="297"/>
      <c r="V276" s="298"/>
      <c r="W276" s="104"/>
    </row>
    <row r="277" spans="1:42" ht="12" customHeight="1" x14ac:dyDescent="0.25">
      <c r="A277" s="68"/>
      <c r="B277" s="103"/>
      <c r="C277" s="217" t="s">
        <v>289</v>
      </c>
      <c r="D277" s="297" t="s">
        <v>239</v>
      </c>
      <c r="E277" s="297"/>
      <c r="F277" s="297"/>
      <c r="G277" s="297"/>
      <c r="H277" s="297"/>
      <c r="I277" s="297"/>
      <c r="J277" s="297"/>
      <c r="K277" s="297"/>
      <c r="L277" s="298"/>
      <c r="M277" s="103"/>
      <c r="N277" s="217" t="s">
        <v>289</v>
      </c>
      <c r="O277" s="297" t="s">
        <v>285</v>
      </c>
      <c r="P277" s="297"/>
      <c r="Q277" s="297"/>
      <c r="R277" s="297"/>
      <c r="S277" s="297"/>
      <c r="T277" s="297"/>
      <c r="U277" s="297"/>
      <c r="V277" s="298"/>
      <c r="W277" s="104"/>
    </row>
    <row r="278" spans="1:42" ht="12" customHeight="1" x14ac:dyDescent="0.25">
      <c r="A278" s="68"/>
      <c r="B278" s="103"/>
      <c r="C278" s="217" t="s">
        <v>289</v>
      </c>
      <c r="D278" s="297" t="s">
        <v>240</v>
      </c>
      <c r="E278" s="297"/>
      <c r="F278" s="297"/>
      <c r="G278" s="297"/>
      <c r="H278" s="297"/>
      <c r="I278" s="297"/>
      <c r="J278" s="297"/>
      <c r="K278" s="297"/>
      <c r="L278" s="298"/>
      <c r="M278" s="103"/>
      <c r="N278" s="217" t="s">
        <v>289</v>
      </c>
      <c r="O278" s="297" t="s">
        <v>286</v>
      </c>
      <c r="P278" s="297"/>
      <c r="Q278" s="297"/>
      <c r="R278" s="297"/>
      <c r="S278" s="297"/>
      <c r="T278" s="297"/>
      <c r="U278" s="297"/>
      <c r="V278" s="298"/>
      <c r="W278" s="104"/>
    </row>
    <row r="279" spans="1:42" ht="12" customHeight="1" x14ac:dyDescent="0.25">
      <c r="A279" s="68"/>
      <c r="B279" s="103"/>
      <c r="C279" s="217" t="s">
        <v>289</v>
      </c>
      <c r="D279" s="297" t="s">
        <v>241</v>
      </c>
      <c r="E279" s="297"/>
      <c r="F279" s="297"/>
      <c r="G279" s="297"/>
      <c r="H279" s="297"/>
      <c r="I279" s="297"/>
      <c r="J279" s="297"/>
      <c r="K279" s="297"/>
      <c r="L279" s="298"/>
      <c r="M279" s="103"/>
      <c r="N279" s="217" t="s">
        <v>289</v>
      </c>
      <c r="O279" s="297" t="s">
        <v>287</v>
      </c>
      <c r="P279" s="297"/>
      <c r="Q279" s="297"/>
      <c r="R279" s="297"/>
      <c r="S279" s="297"/>
      <c r="T279" s="297"/>
      <c r="U279" s="297"/>
      <c r="V279" s="298"/>
      <c r="W279" s="104"/>
    </row>
    <row r="280" spans="1:42" ht="12" customHeight="1" thickBot="1" x14ac:dyDescent="0.3">
      <c r="A280" s="68"/>
      <c r="B280" s="103"/>
      <c r="C280" s="217" t="s">
        <v>289</v>
      </c>
      <c r="D280" s="297" t="s">
        <v>242</v>
      </c>
      <c r="E280" s="297"/>
      <c r="F280" s="297"/>
      <c r="G280" s="297"/>
      <c r="H280" s="297"/>
      <c r="I280" s="297"/>
      <c r="J280" s="297"/>
      <c r="K280" s="297"/>
      <c r="L280" s="298"/>
      <c r="M280" s="106"/>
      <c r="N280" s="218" t="s">
        <v>289</v>
      </c>
      <c r="O280" s="299" t="s">
        <v>275</v>
      </c>
      <c r="P280" s="299"/>
      <c r="Q280" s="299"/>
      <c r="R280" s="299"/>
      <c r="S280" s="299"/>
      <c r="T280" s="299"/>
      <c r="U280" s="299"/>
      <c r="V280" s="300"/>
      <c r="W280" s="104"/>
      <c r="AA280" s="88"/>
      <c r="AB280" s="410" t="s">
        <v>160</v>
      </c>
      <c r="AC280" s="411"/>
      <c r="AD280" s="411"/>
      <c r="AE280" s="411"/>
      <c r="AF280" s="411"/>
      <c r="AG280" s="411"/>
    </row>
    <row r="281" spans="1:42" ht="12" customHeight="1" x14ac:dyDescent="0.25">
      <c r="A281" s="68"/>
      <c r="B281" s="103"/>
      <c r="C281" s="217" t="s">
        <v>289</v>
      </c>
      <c r="D281" s="297" t="s">
        <v>236</v>
      </c>
      <c r="E281" s="297"/>
      <c r="F281" s="297"/>
      <c r="G281" s="297"/>
      <c r="H281" s="297"/>
      <c r="I281" s="297"/>
      <c r="J281" s="297"/>
      <c r="K281" s="297"/>
      <c r="L281" s="298"/>
      <c r="M281" s="379">
        <v>6</v>
      </c>
      <c r="N281" s="379"/>
      <c r="O281" s="378" t="s">
        <v>72</v>
      </c>
      <c r="P281" s="378"/>
      <c r="Q281" s="378"/>
      <c r="R281" s="551"/>
      <c r="S281" s="551"/>
      <c r="T281" s="551"/>
      <c r="U281" s="551"/>
      <c r="V281" s="552"/>
      <c r="W281" s="111"/>
      <c r="X281" s="262"/>
      <c r="Y281" s="295" t="s">
        <v>296</v>
      </c>
      <c r="Z281" s="296"/>
      <c r="AA281" s="71"/>
      <c r="AB281" s="410"/>
      <c r="AC281" s="411"/>
      <c r="AD281" s="411"/>
      <c r="AE281" s="411"/>
      <c r="AF281" s="411"/>
      <c r="AG281" s="411"/>
    </row>
    <row r="282" spans="1:42" ht="6" customHeight="1" thickBot="1" x14ac:dyDescent="0.3">
      <c r="A282" s="68"/>
      <c r="B282" s="106"/>
      <c r="C282" s="183"/>
      <c r="D282" s="109"/>
      <c r="E282" s="109"/>
      <c r="F282" s="109"/>
      <c r="G282" s="109"/>
      <c r="H282" s="109"/>
      <c r="I282" s="109"/>
      <c r="J282" s="109"/>
      <c r="K282" s="109"/>
      <c r="L282" s="110"/>
      <c r="M282" s="88"/>
      <c r="N282" s="88"/>
      <c r="O282" s="49"/>
      <c r="P282" s="49"/>
      <c r="Q282" s="49"/>
      <c r="R282" s="553"/>
      <c r="S282" s="553"/>
      <c r="T282" s="553"/>
      <c r="U282" s="553"/>
      <c r="V282" s="554"/>
      <c r="W282" s="112"/>
      <c r="X282" s="264"/>
      <c r="Y282" s="295"/>
      <c r="Z282" s="296"/>
      <c r="AB282" s="85"/>
      <c r="AC282" s="85"/>
      <c r="AD282" s="85"/>
      <c r="AE282" s="85"/>
      <c r="AF282" s="85"/>
      <c r="AG282" s="85"/>
    </row>
    <row r="283" spans="1:42" ht="12" customHeight="1" x14ac:dyDescent="0.25">
      <c r="A283" s="68"/>
      <c r="B283" s="278" t="s">
        <v>176</v>
      </c>
      <c r="C283" s="279"/>
      <c r="D283" s="537" t="s">
        <v>336</v>
      </c>
      <c r="E283" s="538"/>
      <c r="F283" s="538"/>
      <c r="G283" s="538"/>
      <c r="H283" s="538"/>
      <c r="I283" s="538"/>
      <c r="J283" s="538"/>
      <c r="K283" s="538"/>
      <c r="L283" s="538"/>
      <c r="M283" s="538"/>
      <c r="N283" s="538"/>
      <c r="O283" s="538"/>
      <c r="P283" s="538"/>
      <c r="Q283" s="538"/>
      <c r="R283" s="538"/>
      <c r="S283" s="538"/>
      <c r="T283" s="538"/>
      <c r="U283" s="538"/>
      <c r="V283" s="539"/>
      <c r="W283" s="112"/>
      <c r="X283" s="265"/>
      <c r="Y283" s="295"/>
      <c r="Z283" s="296"/>
      <c r="AA283" s="88"/>
      <c r="AB283" s="410" t="s">
        <v>46</v>
      </c>
      <c r="AC283" s="411"/>
      <c r="AD283" s="411"/>
      <c r="AE283" s="411"/>
      <c r="AF283" s="411"/>
      <c r="AG283" s="411"/>
      <c r="AL283" s="48"/>
      <c r="AM283" s="48"/>
      <c r="AN283" s="48"/>
      <c r="AO283" s="48"/>
      <c r="AP283" s="48"/>
    </row>
    <row r="284" spans="1:42" ht="12" customHeight="1" x14ac:dyDescent="0.25">
      <c r="A284" s="68"/>
      <c r="B284" s="280"/>
      <c r="C284" s="281"/>
      <c r="D284" s="540"/>
      <c r="E284" s="541"/>
      <c r="F284" s="541"/>
      <c r="G284" s="541"/>
      <c r="H284" s="541"/>
      <c r="I284" s="541"/>
      <c r="J284" s="541"/>
      <c r="K284" s="541"/>
      <c r="L284" s="541"/>
      <c r="M284" s="541"/>
      <c r="N284" s="541"/>
      <c r="O284" s="541"/>
      <c r="P284" s="541"/>
      <c r="Q284" s="541"/>
      <c r="R284" s="541"/>
      <c r="S284" s="541"/>
      <c r="T284" s="541"/>
      <c r="U284" s="541"/>
      <c r="V284" s="542"/>
      <c r="W284" s="113"/>
      <c r="X284" s="266"/>
      <c r="Y284" s="295"/>
      <c r="Z284" s="296"/>
      <c r="AA284" s="71"/>
      <c r="AB284" s="410"/>
      <c r="AC284" s="411"/>
      <c r="AD284" s="411"/>
      <c r="AE284" s="411"/>
      <c r="AF284" s="411"/>
      <c r="AG284" s="411"/>
      <c r="AL284" s="48"/>
      <c r="AM284" s="48"/>
      <c r="AN284" s="48"/>
      <c r="AO284" s="48"/>
      <c r="AP284" s="48"/>
    </row>
    <row r="285" spans="1:42" ht="12" customHeight="1" thickBot="1" x14ac:dyDescent="0.3">
      <c r="A285" s="68"/>
      <c r="B285" s="282"/>
      <c r="C285" s="283"/>
      <c r="D285" s="543"/>
      <c r="E285" s="544"/>
      <c r="F285" s="544"/>
      <c r="G285" s="544"/>
      <c r="H285" s="544"/>
      <c r="I285" s="544"/>
      <c r="J285" s="544"/>
      <c r="K285" s="544"/>
      <c r="L285" s="544"/>
      <c r="M285" s="544"/>
      <c r="N285" s="544"/>
      <c r="O285" s="544"/>
      <c r="P285" s="544"/>
      <c r="Q285" s="544"/>
      <c r="R285" s="544"/>
      <c r="S285" s="544"/>
      <c r="T285" s="544"/>
      <c r="U285" s="544"/>
      <c r="V285" s="545"/>
      <c r="W285" s="113"/>
      <c r="X285" s="267"/>
      <c r="Y285" s="295"/>
      <c r="Z285" s="296"/>
      <c r="AE285" s="114"/>
      <c r="AF285" s="114"/>
      <c r="AG285" s="114"/>
      <c r="AL285" s="48"/>
      <c r="AM285" s="157"/>
      <c r="AN285" s="157"/>
      <c r="AO285" s="48"/>
      <c r="AP285" s="48"/>
    </row>
    <row r="286" spans="1:42" ht="12" customHeight="1" x14ac:dyDescent="0.25">
      <c r="A286" s="68"/>
      <c r="B286" s="284" t="s">
        <v>47</v>
      </c>
      <c r="C286" s="285"/>
      <c r="D286" s="253"/>
      <c r="E286" s="254"/>
      <c r="F286" s="254"/>
      <c r="G286" s="254"/>
      <c r="H286" s="254"/>
      <c r="I286" s="254"/>
      <c r="J286" s="254"/>
      <c r="K286" s="254"/>
      <c r="L286" s="254"/>
      <c r="M286" s="254"/>
      <c r="N286" s="254"/>
      <c r="O286" s="254"/>
      <c r="P286" s="254"/>
      <c r="Q286" s="254"/>
      <c r="R286" s="254"/>
      <c r="S286" s="254"/>
      <c r="T286" s="254"/>
      <c r="U286" s="254"/>
      <c r="V286" s="255"/>
      <c r="W286" s="113"/>
      <c r="X286" s="262"/>
      <c r="Y286" s="295"/>
      <c r="Z286" s="296"/>
      <c r="AA286" s="88"/>
      <c r="AB286" s="411" t="s">
        <v>303</v>
      </c>
      <c r="AC286" s="411"/>
      <c r="AD286" s="411"/>
      <c r="AE286" s="411"/>
      <c r="AF286" s="411"/>
      <c r="AG286" s="411"/>
      <c r="AL286" s="48"/>
      <c r="AM286" s="157"/>
      <c r="AN286" s="157"/>
      <c r="AO286" s="48"/>
      <c r="AP286" s="48"/>
    </row>
    <row r="287" spans="1:42" ht="12" customHeight="1" x14ac:dyDescent="0.25">
      <c r="A287" s="68"/>
      <c r="B287" s="286"/>
      <c r="C287" s="287"/>
      <c r="D287" s="247"/>
      <c r="E287" s="248"/>
      <c r="F287" s="248"/>
      <c r="G287" s="248"/>
      <c r="H287" s="248"/>
      <c r="I287" s="248"/>
      <c r="J287" s="248"/>
      <c r="K287" s="248"/>
      <c r="L287" s="248"/>
      <c r="M287" s="248"/>
      <c r="N287" s="248"/>
      <c r="O287" s="248"/>
      <c r="P287" s="248"/>
      <c r="Q287" s="248"/>
      <c r="R287" s="248"/>
      <c r="S287" s="248"/>
      <c r="T287" s="248"/>
      <c r="U287" s="248"/>
      <c r="V287" s="249"/>
      <c r="W287" s="113"/>
      <c r="X287" s="263"/>
      <c r="Y287" s="295"/>
      <c r="Z287" s="296"/>
      <c r="AA287" s="71"/>
      <c r="AB287" s="411"/>
      <c r="AC287" s="411"/>
      <c r="AD287" s="411"/>
      <c r="AE287" s="411"/>
      <c r="AF287" s="411"/>
      <c r="AG287" s="411"/>
      <c r="AL287" s="48"/>
      <c r="AM287" s="48"/>
      <c r="AN287" s="48"/>
      <c r="AO287" s="48"/>
      <c r="AP287" s="48"/>
    </row>
    <row r="288" spans="1:42" ht="12" customHeight="1" thickBot="1" x14ac:dyDescent="0.3">
      <c r="A288" s="68"/>
      <c r="B288" s="288"/>
      <c r="C288" s="289"/>
      <c r="D288" s="247"/>
      <c r="E288" s="248"/>
      <c r="F288" s="248"/>
      <c r="G288" s="248"/>
      <c r="H288" s="248"/>
      <c r="I288" s="248"/>
      <c r="J288" s="248"/>
      <c r="K288" s="248"/>
      <c r="L288" s="248"/>
      <c r="M288" s="248"/>
      <c r="N288" s="248"/>
      <c r="O288" s="248"/>
      <c r="P288" s="248"/>
      <c r="Q288" s="248"/>
      <c r="R288" s="248"/>
      <c r="S288" s="248"/>
      <c r="T288" s="248"/>
      <c r="U288" s="248"/>
      <c r="V288" s="249"/>
      <c r="W288" s="115"/>
      <c r="X288" s="263"/>
      <c r="Y288" s="295"/>
      <c r="Z288" s="296"/>
      <c r="AL288" s="48"/>
      <c r="AM288" s="48"/>
      <c r="AN288" s="48"/>
      <c r="AO288" s="48"/>
      <c r="AP288" s="48"/>
    </row>
    <row r="289" spans="1:57" ht="12" customHeight="1" thickBot="1" x14ac:dyDescent="0.3">
      <c r="A289" s="68"/>
      <c r="D289" s="250"/>
      <c r="E289" s="251"/>
      <c r="F289" s="251"/>
      <c r="G289" s="251"/>
      <c r="H289" s="251"/>
      <c r="I289" s="251"/>
      <c r="J289" s="251"/>
      <c r="K289" s="251"/>
      <c r="L289" s="251"/>
      <c r="M289" s="251"/>
      <c r="N289" s="251"/>
      <c r="O289" s="251"/>
      <c r="P289" s="251"/>
      <c r="Q289" s="251"/>
      <c r="R289" s="251"/>
      <c r="S289" s="251"/>
      <c r="T289" s="251"/>
      <c r="U289" s="251"/>
      <c r="V289" s="252"/>
      <c r="W289" s="115"/>
      <c r="X289" s="264"/>
      <c r="Y289" s="295"/>
      <c r="Z289" s="296"/>
      <c r="AA289" s="88"/>
      <c r="AB289" s="410" t="s">
        <v>48</v>
      </c>
      <c r="AC289" s="411"/>
      <c r="AD289" s="411"/>
      <c r="AE289" s="411"/>
      <c r="AF289" s="411"/>
      <c r="AG289" s="411"/>
      <c r="AL289" s="48"/>
      <c r="AM289" s="157"/>
      <c r="AN289" s="157"/>
      <c r="AO289" s="48"/>
      <c r="AP289" s="48"/>
    </row>
    <row r="290" spans="1:57" ht="12" customHeight="1" thickTop="1" x14ac:dyDescent="0.25">
      <c r="A290" s="68"/>
      <c r="B290" s="243" t="s">
        <v>299</v>
      </c>
      <c r="C290" s="244"/>
      <c r="D290" s="256" t="s">
        <v>337</v>
      </c>
      <c r="E290" s="257"/>
      <c r="F290" s="257"/>
      <c r="G290" s="257"/>
      <c r="H290" s="257"/>
      <c r="I290" s="257"/>
      <c r="J290" s="257"/>
      <c r="K290" s="257"/>
      <c r="L290" s="257"/>
      <c r="M290" s="257"/>
      <c r="N290" s="257"/>
      <c r="O290" s="257"/>
      <c r="P290" s="257"/>
      <c r="Q290" s="257"/>
      <c r="R290" s="257"/>
      <c r="S290" s="257"/>
      <c r="T290" s="257"/>
      <c r="U290" s="257"/>
      <c r="V290" s="258"/>
      <c r="W290" s="115"/>
      <c r="X290" s="265"/>
      <c r="Y290" s="295"/>
      <c r="Z290" s="296"/>
      <c r="AB290" s="410"/>
      <c r="AC290" s="411"/>
      <c r="AD290" s="411"/>
      <c r="AE290" s="411"/>
      <c r="AF290" s="411"/>
      <c r="AG290" s="411"/>
      <c r="BE290" s="518" t="s">
        <v>49</v>
      </c>
    </row>
    <row r="291" spans="1:57" ht="12" customHeight="1" x14ac:dyDescent="0.25">
      <c r="A291" s="68"/>
      <c r="B291" s="245"/>
      <c r="C291" s="246"/>
      <c r="D291" s="259"/>
      <c r="E291" s="260"/>
      <c r="F291" s="260"/>
      <c r="G291" s="260"/>
      <c r="H291" s="260"/>
      <c r="I291" s="260"/>
      <c r="J291" s="260"/>
      <c r="K291" s="260"/>
      <c r="L291" s="260"/>
      <c r="M291" s="260"/>
      <c r="N291" s="260"/>
      <c r="O291" s="260"/>
      <c r="P291" s="260"/>
      <c r="Q291" s="260"/>
      <c r="R291" s="260"/>
      <c r="S291" s="260"/>
      <c r="T291" s="260"/>
      <c r="U291" s="260"/>
      <c r="V291" s="261"/>
      <c r="W291" s="120"/>
      <c r="X291" s="266"/>
      <c r="Y291" s="295"/>
      <c r="Z291" s="296"/>
      <c r="AB291" s="410"/>
      <c r="AC291" s="411"/>
      <c r="AD291" s="411"/>
      <c r="AE291" s="411"/>
      <c r="AF291" s="411"/>
      <c r="AG291" s="411"/>
      <c r="BE291" s="519"/>
    </row>
    <row r="292" spans="1:57" ht="12" customHeight="1" thickBot="1" x14ac:dyDescent="0.3">
      <c r="A292" s="68"/>
      <c r="B292" s="245"/>
      <c r="C292" s="246"/>
      <c r="D292" s="259"/>
      <c r="E292" s="260"/>
      <c r="F292" s="260"/>
      <c r="G292" s="260"/>
      <c r="H292" s="260"/>
      <c r="I292" s="260"/>
      <c r="J292" s="260"/>
      <c r="K292" s="260"/>
      <c r="L292" s="260"/>
      <c r="M292" s="260"/>
      <c r="N292" s="260"/>
      <c r="O292" s="260"/>
      <c r="P292" s="260"/>
      <c r="Q292" s="260"/>
      <c r="R292" s="260"/>
      <c r="S292" s="260"/>
      <c r="T292" s="260"/>
      <c r="U292" s="260"/>
      <c r="V292" s="261"/>
      <c r="W292" s="120"/>
      <c r="X292" s="267"/>
      <c r="Y292" s="295"/>
      <c r="Z292" s="296"/>
      <c r="AA292" s="48"/>
      <c r="AB292" s="411"/>
      <c r="AC292" s="411"/>
      <c r="AD292" s="411"/>
      <c r="AE292" s="411"/>
      <c r="AF292" s="411"/>
      <c r="AG292" s="411"/>
      <c r="BE292" s="519"/>
    </row>
    <row r="293" spans="1:57" ht="12" customHeight="1" thickTop="1" x14ac:dyDescent="0.25">
      <c r="A293" s="68"/>
      <c r="B293" s="116"/>
      <c r="C293" s="176"/>
      <c r="D293" s="520" t="s">
        <v>190</v>
      </c>
      <c r="E293" s="520"/>
      <c r="F293" s="520"/>
      <c r="G293" s="520"/>
      <c r="H293" s="48"/>
      <c r="I293" s="117"/>
      <c r="J293" s="118"/>
      <c r="K293" s="118"/>
      <c r="L293" s="118"/>
      <c r="M293" s="118"/>
      <c r="N293" s="118"/>
      <c r="O293" s="118"/>
      <c r="P293" s="118"/>
      <c r="Q293" s="118"/>
      <c r="R293" s="118"/>
      <c r="S293" s="118"/>
      <c r="T293" s="119"/>
      <c r="U293" s="118"/>
      <c r="V293" s="118"/>
      <c r="W293" s="125"/>
      <c r="AA293" s="88"/>
      <c r="AB293" s="409" t="s">
        <v>45</v>
      </c>
      <c r="AC293" s="409"/>
      <c r="AD293" s="409"/>
      <c r="AE293" s="409"/>
      <c r="AF293" s="409"/>
      <c r="AG293" s="409"/>
      <c r="BE293" s="519"/>
    </row>
    <row r="294" spans="1:57" ht="12" customHeight="1" thickBot="1" x14ac:dyDescent="0.3">
      <c r="A294" s="68"/>
      <c r="B294" s="121"/>
      <c r="C294" s="48"/>
      <c r="D294" s="382">
        <v>92</v>
      </c>
      <c r="E294" s="383"/>
      <c r="F294" s="383"/>
      <c r="G294" s="384"/>
      <c r="H294" s="48"/>
      <c r="I294" s="122"/>
      <c r="J294" s="528" t="s">
        <v>304</v>
      </c>
      <c r="K294" s="528"/>
      <c r="L294" s="528"/>
      <c r="M294" s="123"/>
      <c r="N294" s="123"/>
      <c r="O294" s="521" t="s">
        <v>16</v>
      </c>
      <c r="P294" s="521"/>
      <c r="Q294" s="521"/>
      <c r="R294" s="521"/>
      <c r="S294" s="521"/>
      <c r="T294" s="522" t="s">
        <v>50</v>
      </c>
      <c r="U294" s="522"/>
      <c r="V294" s="123"/>
      <c r="W294" s="125"/>
      <c r="AA294" s="71"/>
      <c r="AB294" s="409"/>
      <c r="AC294" s="409"/>
      <c r="AD294" s="409"/>
      <c r="AE294" s="409"/>
      <c r="AF294" s="409"/>
      <c r="AG294" s="409"/>
      <c r="BE294" s="519"/>
    </row>
    <row r="295" spans="1:57" ht="12" customHeight="1" x14ac:dyDescent="0.25">
      <c r="A295" s="68"/>
      <c r="B295" s="121"/>
      <c r="C295" s="48"/>
      <c r="D295" s="385"/>
      <c r="E295" s="386"/>
      <c r="F295" s="386"/>
      <c r="G295" s="387"/>
      <c r="H295" s="48"/>
      <c r="I295" s="124"/>
      <c r="J295" s="528"/>
      <c r="K295" s="528"/>
      <c r="L295" s="528"/>
      <c r="M295" s="123"/>
      <c r="N295" s="123"/>
      <c r="O295" s="523" t="s">
        <v>300</v>
      </c>
      <c r="P295" s="523"/>
      <c r="Q295" s="523"/>
      <c r="R295" s="523"/>
      <c r="S295" s="523"/>
      <c r="T295" s="524"/>
      <c r="U295" s="525"/>
      <c r="V295" s="123"/>
      <c r="W295" s="125"/>
      <c r="BE295" s="519"/>
    </row>
    <row r="296" spans="1:57" ht="12" customHeight="1" x14ac:dyDescent="0.25">
      <c r="A296" s="68"/>
      <c r="B296" s="121"/>
      <c r="C296" s="48"/>
      <c r="D296" s="276" t="str">
        <f>IF(AE145&lt;&gt;0,"Acompte sur Total voir page 3",IF($AE$144&lt;&gt;0,"Acompte sur Total voir page 2)","Acompte"))</f>
        <v>Acompte</v>
      </c>
      <c r="E296" s="276"/>
      <c r="F296" s="276"/>
      <c r="G296" s="276"/>
      <c r="H296" s="48"/>
      <c r="I296" s="225" t="s">
        <v>6</v>
      </c>
      <c r="J296" s="268"/>
      <c r="K296" s="269"/>
      <c r="L296" s="270"/>
      <c r="M296" s="123"/>
      <c r="N296" s="123"/>
      <c r="O296" s="523"/>
      <c r="P296" s="523"/>
      <c r="Q296" s="523"/>
      <c r="R296" s="523"/>
      <c r="S296" s="523"/>
      <c r="T296" s="499"/>
      <c r="U296" s="500"/>
      <c r="V296" s="123"/>
      <c r="W296" s="125"/>
      <c r="AA296" s="88"/>
      <c r="AB296" s="81" t="s">
        <v>51</v>
      </c>
      <c r="AC296" s="81"/>
      <c r="AD296" s="81"/>
      <c r="BE296" s="519"/>
    </row>
    <row r="297" spans="1:57" ht="12" customHeight="1" x14ac:dyDescent="0.25">
      <c r="A297" s="68"/>
      <c r="B297" s="121"/>
      <c r="C297" s="48"/>
      <c r="D297" s="277"/>
      <c r="E297" s="277"/>
      <c r="F297" s="277"/>
      <c r="G297" s="277"/>
      <c r="H297" s="48"/>
      <c r="I297" s="226" t="s">
        <v>7</v>
      </c>
      <c r="J297" s="271"/>
      <c r="K297" s="272"/>
      <c r="L297" s="273"/>
      <c r="M297" s="123"/>
      <c r="N297" s="123"/>
      <c r="O297" s="523" t="s">
        <v>301</v>
      </c>
      <c r="P297" s="523"/>
      <c r="Q297" s="523"/>
      <c r="R297" s="523"/>
      <c r="S297" s="523"/>
      <c r="T297" s="497"/>
      <c r="U297" s="498"/>
      <c r="V297" s="123"/>
      <c r="W297" s="125"/>
      <c r="AB297" s="409" t="s">
        <v>52</v>
      </c>
      <c r="AC297" s="409"/>
      <c r="AD297" s="409"/>
      <c r="AE297" s="409"/>
      <c r="AF297" s="409"/>
      <c r="BE297" s="519"/>
    </row>
    <row r="298" spans="1:57" ht="12" customHeight="1" x14ac:dyDescent="0.25">
      <c r="A298" s="68"/>
      <c r="B298" s="121"/>
      <c r="C298" s="48"/>
      <c r="D298" s="526" t="s">
        <v>2</v>
      </c>
      <c r="E298" s="169"/>
      <c r="F298" s="531"/>
      <c r="G298" s="532"/>
      <c r="H298" s="48"/>
      <c r="I298" s="124"/>
      <c r="J298" s="529" t="s">
        <v>305</v>
      </c>
      <c r="K298" s="529"/>
      <c r="L298" s="529"/>
      <c r="M298" s="123"/>
      <c r="N298" s="123"/>
      <c r="O298" s="523"/>
      <c r="P298" s="523"/>
      <c r="Q298" s="523"/>
      <c r="R298" s="523"/>
      <c r="S298" s="523"/>
      <c r="T298" s="499"/>
      <c r="U298" s="500"/>
      <c r="V298" s="123"/>
      <c r="W298" s="125"/>
      <c r="AB298" s="409"/>
      <c r="AC298" s="409"/>
      <c r="AD298" s="409"/>
      <c r="AE298" s="409"/>
      <c r="AF298" s="409"/>
      <c r="AG298" s="85"/>
      <c r="BE298" s="519"/>
    </row>
    <row r="299" spans="1:57" ht="12" customHeight="1" x14ac:dyDescent="0.25">
      <c r="A299" s="68"/>
      <c r="B299" s="121"/>
      <c r="C299" s="48"/>
      <c r="D299" s="527"/>
      <c r="E299" s="170"/>
      <c r="F299" s="533"/>
      <c r="G299" s="534"/>
      <c r="H299" s="48"/>
      <c r="I299" s="122"/>
      <c r="J299" s="530"/>
      <c r="K299" s="530"/>
      <c r="L299" s="530"/>
      <c r="M299" s="123"/>
      <c r="N299" s="123"/>
      <c r="O299" s="523" t="s">
        <v>302</v>
      </c>
      <c r="P299" s="523"/>
      <c r="Q299" s="523"/>
      <c r="R299" s="523"/>
      <c r="S299" s="523"/>
      <c r="T299" s="570"/>
      <c r="U299" s="498"/>
      <c r="V299" s="123"/>
      <c r="W299" s="125"/>
      <c r="AB299" s="409"/>
      <c r="AC299" s="409"/>
      <c r="AD299" s="409"/>
      <c r="AE299" s="409"/>
      <c r="AF299" s="409"/>
      <c r="AG299" s="85"/>
      <c r="BE299" s="519"/>
    </row>
    <row r="300" spans="1:57" ht="12" customHeight="1" x14ac:dyDescent="0.25">
      <c r="A300" s="68"/>
      <c r="B300" s="121"/>
      <c r="C300" s="48"/>
      <c r="D300" s="564">
        <f>IF($AE$145&lt;&gt;0,$AE$145*$F$298,IF($AE$144&lt;&gt;0,$AE$144*$F$298,$AE$143*$F$298))</f>
        <v>0</v>
      </c>
      <c r="E300" s="565"/>
      <c r="F300" s="565"/>
      <c r="G300" s="566"/>
      <c r="H300" s="48"/>
      <c r="I300" s="225" t="s">
        <v>6</v>
      </c>
      <c r="J300" s="268"/>
      <c r="K300" s="269"/>
      <c r="L300" s="270"/>
      <c r="M300" s="123"/>
      <c r="N300" s="123"/>
      <c r="O300" s="523"/>
      <c r="P300" s="523"/>
      <c r="Q300" s="523"/>
      <c r="R300" s="523"/>
      <c r="S300" s="523"/>
      <c r="T300" s="499"/>
      <c r="U300" s="500"/>
      <c r="V300" s="123"/>
      <c r="W300" s="125"/>
      <c r="AA300" s="88"/>
      <c r="AB300" s="409" t="s">
        <v>184</v>
      </c>
      <c r="AC300" s="409"/>
      <c r="AD300" s="409"/>
      <c r="AE300" s="409"/>
      <c r="AF300" s="409"/>
      <c r="AG300" s="409"/>
      <c r="BE300" s="519"/>
    </row>
    <row r="301" spans="1:57" ht="12" customHeight="1" x14ac:dyDescent="0.25">
      <c r="A301" s="68"/>
      <c r="B301" s="121"/>
      <c r="C301" s="48"/>
      <c r="D301" s="567"/>
      <c r="E301" s="568"/>
      <c r="F301" s="568"/>
      <c r="G301" s="569"/>
      <c r="H301" s="48"/>
      <c r="I301" s="226" t="s">
        <v>7</v>
      </c>
      <c r="J301" s="271"/>
      <c r="K301" s="272"/>
      <c r="L301" s="273"/>
      <c r="M301" s="123"/>
      <c r="N301" s="123"/>
      <c r="O301" s="126" t="s">
        <v>54</v>
      </c>
      <c r="P301" s="123"/>
      <c r="Q301" s="123"/>
      <c r="R301" s="123"/>
      <c r="S301" s="123"/>
      <c r="T301" s="127"/>
      <c r="U301" s="123"/>
      <c r="V301" s="123"/>
      <c r="W301" s="125"/>
      <c r="AA301" s="71"/>
      <c r="AB301" s="409"/>
      <c r="AC301" s="409"/>
      <c r="AD301" s="409"/>
      <c r="AE301" s="409"/>
      <c r="AF301" s="409"/>
      <c r="AG301" s="409"/>
      <c r="BE301" s="519"/>
    </row>
    <row r="302" spans="1:57" ht="12" customHeight="1" x14ac:dyDescent="0.25">
      <c r="A302" s="68"/>
      <c r="B302" s="121"/>
      <c r="C302" s="48"/>
      <c r="D302" s="274" t="s">
        <v>183</v>
      </c>
      <c r="E302" s="274"/>
      <c r="F302" s="274"/>
      <c r="G302" s="274"/>
      <c r="H302" s="48"/>
      <c r="I302" s="122"/>
      <c r="J302" s="123"/>
      <c r="K302" s="123"/>
      <c r="L302" s="123"/>
      <c r="M302" s="123"/>
      <c r="N302" s="123"/>
      <c r="O302" s="558"/>
      <c r="P302" s="559"/>
      <c r="Q302" s="559"/>
      <c r="R302" s="559"/>
      <c r="S302" s="559"/>
      <c r="T302" s="559"/>
      <c r="U302" s="560"/>
      <c r="V302" s="123"/>
      <c r="W302" s="120"/>
      <c r="AA302" s="71"/>
      <c r="AB302" s="409"/>
      <c r="AC302" s="409"/>
      <c r="AD302" s="409"/>
      <c r="AE302" s="409"/>
      <c r="AF302" s="409"/>
      <c r="AG302" s="409"/>
      <c r="BE302" s="519"/>
    </row>
    <row r="303" spans="1:57" ht="12" customHeight="1" x14ac:dyDescent="0.25">
      <c r="A303" s="68"/>
      <c r="B303" s="121"/>
      <c r="C303" s="48"/>
      <c r="D303" s="275"/>
      <c r="E303" s="275"/>
      <c r="F303" s="275"/>
      <c r="G303" s="275"/>
      <c r="H303" s="48"/>
      <c r="I303" s="122"/>
      <c r="J303" s="123"/>
      <c r="K303" s="123"/>
      <c r="L303" s="123"/>
      <c r="M303" s="123"/>
      <c r="N303" s="123"/>
      <c r="O303" s="561"/>
      <c r="P303" s="562"/>
      <c r="Q303" s="562"/>
      <c r="R303" s="562"/>
      <c r="S303" s="562"/>
      <c r="T303" s="562"/>
      <c r="U303" s="563"/>
      <c r="V303" s="123"/>
      <c r="W303" s="128"/>
      <c r="AA303" s="48"/>
      <c r="AB303" s="85"/>
      <c r="AC303" s="85"/>
      <c r="AD303" s="85"/>
      <c r="AE303" s="85"/>
      <c r="AF303" s="85"/>
      <c r="AG303" s="85"/>
      <c r="BE303" s="519"/>
    </row>
    <row r="304" spans="1:57" ht="12" customHeight="1" x14ac:dyDescent="0.25">
      <c r="A304" s="68"/>
      <c r="B304" s="121"/>
      <c r="C304" s="48"/>
      <c r="D304" s="268" t="s">
        <v>6</v>
      </c>
      <c r="E304" s="269"/>
      <c r="F304" s="269"/>
      <c r="G304" s="270"/>
      <c r="H304" s="221"/>
      <c r="I304" s="122"/>
      <c r="J304" s="242" t="s">
        <v>53</v>
      </c>
      <c r="K304" s="242"/>
      <c r="L304" s="242"/>
      <c r="M304" s="242"/>
      <c r="N304" s="242"/>
      <c r="O304" s="242"/>
      <c r="P304" s="242"/>
      <c r="Q304" s="242"/>
      <c r="R304" s="242"/>
      <c r="S304" s="242"/>
      <c r="T304" s="242"/>
      <c r="U304" s="242"/>
      <c r="V304" s="123"/>
      <c r="W304" s="128"/>
      <c r="AA304" s="88"/>
      <c r="AB304" s="408" t="s">
        <v>40</v>
      </c>
      <c r="AC304" s="408"/>
      <c r="AD304" s="408"/>
      <c r="AE304" s="408"/>
      <c r="AF304" s="408"/>
      <c r="AG304" s="408"/>
      <c r="BE304" s="519"/>
    </row>
    <row r="305" spans="1:57" ht="12" customHeight="1" x14ac:dyDescent="0.25">
      <c r="A305" s="68"/>
      <c r="B305" s="121"/>
      <c r="C305" s="48"/>
      <c r="D305" s="271"/>
      <c r="E305" s="272"/>
      <c r="F305" s="272"/>
      <c r="G305" s="273"/>
      <c r="H305" s="221"/>
      <c r="I305" s="122"/>
      <c r="J305" s="242"/>
      <c r="K305" s="242"/>
      <c r="L305" s="242"/>
      <c r="M305" s="242"/>
      <c r="N305" s="242"/>
      <c r="O305" s="242"/>
      <c r="P305" s="242"/>
      <c r="Q305" s="242"/>
      <c r="R305" s="242"/>
      <c r="S305" s="242"/>
      <c r="T305" s="242"/>
      <c r="U305" s="242"/>
      <c r="V305" s="123"/>
      <c r="W305" s="128"/>
      <c r="AA305" s="71"/>
      <c r="AB305" s="408"/>
      <c r="AC305" s="408"/>
      <c r="AD305" s="408"/>
      <c r="AE305" s="408"/>
      <c r="AF305" s="408"/>
      <c r="AG305" s="408"/>
      <c r="BE305" s="120"/>
    </row>
    <row r="306" spans="1:57" ht="7.5" customHeight="1" thickBot="1" x14ac:dyDescent="0.3">
      <c r="A306" s="68"/>
      <c r="B306" s="129"/>
      <c r="C306" s="107"/>
      <c r="D306" s="107"/>
      <c r="E306" s="107"/>
      <c r="F306" s="107"/>
      <c r="G306" s="107"/>
      <c r="H306" s="222"/>
      <c r="I306" s="123"/>
      <c r="J306" s="123"/>
      <c r="K306" s="123"/>
      <c r="L306" s="123"/>
      <c r="M306" s="123"/>
      <c r="N306" s="123"/>
      <c r="O306" s="123"/>
      <c r="P306" s="123"/>
      <c r="Q306" s="123"/>
      <c r="R306" s="123"/>
      <c r="S306" s="123"/>
      <c r="T306" s="123"/>
      <c r="U306" s="123"/>
      <c r="V306" s="123"/>
      <c r="W306" s="120"/>
      <c r="AB306" s="408"/>
      <c r="AC306" s="408"/>
      <c r="AD306" s="408"/>
      <c r="AE306" s="408"/>
      <c r="AF306" s="408"/>
      <c r="AG306" s="408"/>
    </row>
    <row r="307" spans="1:57" x14ac:dyDescent="0.25">
      <c r="A307" s="130"/>
      <c r="B307" s="130"/>
      <c r="C307" s="130"/>
      <c r="D307" s="130"/>
      <c r="E307" s="130"/>
      <c r="F307" s="130"/>
      <c r="G307" s="130"/>
      <c r="H307" s="130"/>
      <c r="I307" s="130"/>
      <c r="J307" s="130"/>
      <c r="K307" s="130"/>
      <c r="L307" s="130"/>
      <c r="M307" s="130"/>
      <c r="N307" s="130"/>
      <c r="O307" s="130"/>
      <c r="P307" s="130"/>
      <c r="Q307" s="130"/>
      <c r="R307" s="130"/>
      <c r="S307" s="69" t="s">
        <v>27</v>
      </c>
      <c r="T307" s="131"/>
      <c r="U307" s="131"/>
      <c r="V307" s="120"/>
      <c r="W307" s="120"/>
      <c r="AB307" s="408"/>
      <c r="AC307" s="408"/>
      <c r="AD307" s="408"/>
      <c r="AE307" s="408"/>
      <c r="AF307" s="408"/>
      <c r="AG307" s="408"/>
    </row>
    <row r="312" spans="1:57" ht="15" customHeight="1" x14ac:dyDescent="0.25"/>
    <row r="313" spans="1:57" ht="27" customHeight="1" x14ac:dyDescent="0.25"/>
    <row r="315" spans="1:57" ht="15.75" customHeight="1" x14ac:dyDescent="0.25"/>
    <row r="318" spans="1:57" ht="15" customHeight="1" x14ac:dyDescent="0.25"/>
  </sheetData>
  <sheetProtection password="C6F2" sheet="1" formatCells="0" selectLockedCells="1"/>
  <mergeCells count="331">
    <mergeCell ref="AB193:AG211"/>
    <mergeCell ref="R201:S202"/>
    <mergeCell ref="T201:V202"/>
    <mergeCell ref="AB189:AE190"/>
    <mergeCell ref="AB186:AE187"/>
    <mergeCell ref="R203:S204"/>
    <mergeCell ref="T203:V204"/>
    <mergeCell ref="T210:V210"/>
    <mergeCell ref="AB184:AM185"/>
    <mergeCell ref="O302:U303"/>
    <mergeCell ref="D300:G301"/>
    <mergeCell ref="O299:S300"/>
    <mergeCell ref="T299:U300"/>
    <mergeCell ref="AG187:AK187"/>
    <mergeCell ref="J300:L301"/>
    <mergeCell ref="AG186:AK186"/>
    <mergeCell ref="AG190:AK190"/>
    <mergeCell ref="AG189:AK189"/>
    <mergeCell ref="D203:Q204"/>
    <mergeCell ref="O297:S298"/>
    <mergeCell ref="O253:U253"/>
    <mergeCell ref="D283:V285"/>
    <mergeCell ref="D227:G227"/>
    <mergeCell ref="H227:V227"/>
    <mergeCell ref="D266:L266"/>
    <mergeCell ref="R281:V282"/>
    <mergeCell ref="D244:L244"/>
    <mergeCell ref="D243:L243"/>
    <mergeCell ref="BE290:BE304"/>
    <mergeCell ref="D293:G293"/>
    <mergeCell ref="O294:S294"/>
    <mergeCell ref="T294:U294"/>
    <mergeCell ref="O295:S296"/>
    <mergeCell ref="T295:U296"/>
    <mergeCell ref="D298:D299"/>
    <mergeCell ref="J294:L295"/>
    <mergeCell ref="J298:L299"/>
    <mergeCell ref="F298:G299"/>
    <mergeCell ref="X281:X282"/>
    <mergeCell ref="D268:L268"/>
    <mergeCell ref="D281:L281"/>
    <mergeCell ref="T297:U298"/>
    <mergeCell ref="H228:V229"/>
    <mergeCell ref="H230:V231"/>
    <mergeCell ref="B233:V233"/>
    <mergeCell ref="D251:K251"/>
    <mergeCell ref="D234:K234"/>
    <mergeCell ref="D245:L245"/>
    <mergeCell ref="D223:Q224"/>
    <mergeCell ref="R223:S224"/>
    <mergeCell ref="T223:V224"/>
    <mergeCell ref="B223:C224"/>
    <mergeCell ref="D238:L238"/>
    <mergeCell ref="D237:L237"/>
    <mergeCell ref="D228:G231"/>
    <mergeCell ref="B228:C230"/>
    <mergeCell ref="B220:C222"/>
    <mergeCell ref="B225:K225"/>
    <mergeCell ref="L225:Q225"/>
    <mergeCell ref="R225:V225"/>
    <mergeCell ref="D218:Q219"/>
    <mergeCell ref="R218:S219"/>
    <mergeCell ref="T218:V219"/>
    <mergeCell ref="D220:O222"/>
    <mergeCell ref="P220:Q220"/>
    <mergeCell ref="R220:S220"/>
    <mergeCell ref="T220:V220"/>
    <mergeCell ref="P221:Q222"/>
    <mergeCell ref="R221:S222"/>
    <mergeCell ref="T221:V222"/>
    <mergeCell ref="D213:Q214"/>
    <mergeCell ref="R213:S214"/>
    <mergeCell ref="T213:V214"/>
    <mergeCell ref="D215:O217"/>
    <mergeCell ref="P215:Q215"/>
    <mergeCell ref="R215:S215"/>
    <mergeCell ref="T215:V215"/>
    <mergeCell ref="P216:Q217"/>
    <mergeCell ref="R216:S217"/>
    <mergeCell ref="T216:V217"/>
    <mergeCell ref="D208:Q209"/>
    <mergeCell ref="R208:S209"/>
    <mergeCell ref="T208:V209"/>
    <mergeCell ref="D210:O212"/>
    <mergeCell ref="P210:Q210"/>
    <mergeCell ref="R210:S210"/>
    <mergeCell ref="P211:Q212"/>
    <mergeCell ref="R211:S212"/>
    <mergeCell ref="T211:V212"/>
    <mergeCell ref="D205:O207"/>
    <mergeCell ref="P205:Q205"/>
    <mergeCell ref="R205:S205"/>
    <mergeCell ref="T205:V205"/>
    <mergeCell ref="P206:Q207"/>
    <mergeCell ref="R206:S207"/>
    <mergeCell ref="T206:V207"/>
    <mergeCell ref="D198:Q199"/>
    <mergeCell ref="R198:S199"/>
    <mergeCell ref="T198:V199"/>
    <mergeCell ref="D200:O202"/>
    <mergeCell ref="P200:Q200"/>
    <mergeCell ref="R200:S200"/>
    <mergeCell ref="D193:Q194"/>
    <mergeCell ref="R193:S194"/>
    <mergeCell ref="T193:V194"/>
    <mergeCell ref="D195:O197"/>
    <mergeCell ref="P195:Q195"/>
    <mergeCell ref="R195:S195"/>
    <mergeCell ref="T195:V195"/>
    <mergeCell ref="P196:Q197"/>
    <mergeCell ref="R196:S197"/>
    <mergeCell ref="T196:V197"/>
    <mergeCell ref="D188:Q189"/>
    <mergeCell ref="R188:S189"/>
    <mergeCell ref="T188:V189"/>
    <mergeCell ref="D190:O192"/>
    <mergeCell ref="P190:Q190"/>
    <mergeCell ref="R190:S190"/>
    <mergeCell ref="T190:V190"/>
    <mergeCell ref="P191:Q192"/>
    <mergeCell ref="T191:V192"/>
    <mergeCell ref="R191:S192"/>
    <mergeCell ref="D183:Q184"/>
    <mergeCell ref="R183:S184"/>
    <mergeCell ref="T183:V184"/>
    <mergeCell ref="D185:O187"/>
    <mergeCell ref="P185:Q185"/>
    <mergeCell ref="R185:S185"/>
    <mergeCell ref="T185:V185"/>
    <mergeCell ref="P186:Q187"/>
    <mergeCell ref="R186:S187"/>
    <mergeCell ref="T186:V187"/>
    <mergeCell ref="T180:V180"/>
    <mergeCell ref="P181:Q182"/>
    <mergeCell ref="R181:S182"/>
    <mergeCell ref="T181:V182"/>
    <mergeCell ref="D178:Q179"/>
    <mergeCell ref="R178:S179"/>
    <mergeCell ref="T178:V179"/>
    <mergeCell ref="D180:O182"/>
    <mergeCell ref="P180:Q180"/>
    <mergeCell ref="R180:S180"/>
    <mergeCell ref="R174:V174"/>
    <mergeCell ref="D175:O177"/>
    <mergeCell ref="R175:S175"/>
    <mergeCell ref="T175:V175"/>
    <mergeCell ref="AB169:AG174"/>
    <mergeCell ref="P176:Q177"/>
    <mergeCell ref="R176:S177"/>
    <mergeCell ref="T176:V177"/>
    <mergeCell ref="P175:Q175"/>
    <mergeCell ref="AG175:AM178"/>
    <mergeCell ref="B168:I168"/>
    <mergeCell ref="J169:Q171"/>
    <mergeCell ref="R169:V171"/>
    <mergeCell ref="B171:I171"/>
    <mergeCell ref="B172:I173"/>
    <mergeCell ref="J172:Q173"/>
    <mergeCell ref="R172:V173"/>
    <mergeCell ref="B170:F170"/>
    <mergeCell ref="G170:I170"/>
    <mergeCell ref="B1:O1"/>
    <mergeCell ref="S162:V163"/>
    <mergeCell ref="B164:I164"/>
    <mergeCell ref="J164:Q164"/>
    <mergeCell ref="R164:V164"/>
    <mergeCell ref="L162:Q163"/>
    <mergeCell ref="R162:R163"/>
    <mergeCell ref="F163:K163"/>
    <mergeCell ref="H162:K162"/>
    <mergeCell ref="AB304:AG307"/>
    <mergeCell ref="AB230:AG240"/>
    <mergeCell ref="AB300:AG302"/>
    <mergeCell ref="AB280:AG281"/>
    <mergeCell ref="AB227:AG228"/>
    <mergeCell ref="AB289:AG292"/>
    <mergeCell ref="AB293:AG294"/>
    <mergeCell ref="AB297:AF299"/>
    <mergeCell ref="AB283:AG284"/>
    <mergeCell ref="AB286:AG287"/>
    <mergeCell ref="B203:C204"/>
    <mergeCell ref="B200:C202"/>
    <mergeCell ref="O271:V271"/>
    <mergeCell ref="O270:V270"/>
    <mergeCell ref="O269:V269"/>
    <mergeCell ref="O268:V268"/>
    <mergeCell ref="M267:N267"/>
    <mergeCell ref="M253:N253"/>
    <mergeCell ref="T200:V200"/>
    <mergeCell ref="P201:Q202"/>
    <mergeCell ref="AE142:AF142"/>
    <mergeCell ref="AE143:AF143"/>
    <mergeCell ref="AE144:AF144"/>
    <mergeCell ref="AE145:AF145"/>
    <mergeCell ref="AE149:AF149"/>
    <mergeCell ref="AE148:AF148"/>
    <mergeCell ref="AE147:AF147"/>
    <mergeCell ref="AE146:AF146"/>
    <mergeCell ref="J296:L297"/>
    <mergeCell ref="O267:U267"/>
    <mergeCell ref="O281:Q281"/>
    <mergeCell ref="M281:N281"/>
    <mergeCell ref="D274:K274"/>
    <mergeCell ref="D294:G295"/>
    <mergeCell ref="D267:L267"/>
    <mergeCell ref="D273:L273"/>
    <mergeCell ref="D272:L272"/>
    <mergeCell ref="D271:L271"/>
    <mergeCell ref="AB161:AD162"/>
    <mergeCell ref="AA180:AL181"/>
    <mergeCell ref="B166:I166"/>
    <mergeCell ref="J167:Q168"/>
    <mergeCell ref="R167:V168"/>
    <mergeCell ref="AF160:AM163"/>
    <mergeCell ref="AB166:AG168"/>
    <mergeCell ref="B174:Q174"/>
    <mergeCell ref="AB176:AE176"/>
    <mergeCell ref="B165:I165"/>
    <mergeCell ref="J165:Q166"/>
    <mergeCell ref="R165:V166"/>
    <mergeCell ref="B169:C169"/>
    <mergeCell ref="B218:C219"/>
    <mergeCell ref="B215:C217"/>
    <mergeCell ref="B213:C214"/>
    <mergeCell ref="B210:C212"/>
    <mergeCell ref="B208:C209"/>
    <mergeCell ref="B205:C207"/>
    <mergeCell ref="B198:C199"/>
    <mergeCell ref="B195:C197"/>
    <mergeCell ref="B193:C194"/>
    <mergeCell ref="B190:C192"/>
    <mergeCell ref="B188:C189"/>
    <mergeCell ref="B185:C187"/>
    <mergeCell ref="B183:C184"/>
    <mergeCell ref="B180:C182"/>
    <mergeCell ref="B178:C179"/>
    <mergeCell ref="B175:C177"/>
    <mergeCell ref="D250:L250"/>
    <mergeCell ref="D249:L249"/>
    <mergeCell ref="D248:L248"/>
    <mergeCell ref="D247:L247"/>
    <mergeCell ref="D246:L246"/>
    <mergeCell ref="D241:L241"/>
    <mergeCell ref="D239:L239"/>
    <mergeCell ref="D242:L242"/>
    <mergeCell ref="D260:L260"/>
    <mergeCell ref="D235:L235"/>
    <mergeCell ref="D255:L255"/>
    <mergeCell ref="D254:L254"/>
    <mergeCell ref="D252:L252"/>
    <mergeCell ref="D253:L253"/>
    <mergeCell ref="D259:L259"/>
    <mergeCell ref="D236:L236"/>
    <mergeCell ref="D240:L240"/>
    <mergeCell ref="D270:L270"/>
    <mergeCell ref="D269:L269"/>
    <mergeCell ref="D258:L258"/>
    <mergeCell ref="D257:L257"/>
    <mergeCell ref="D256:L256"/>
    <mergeCell ref="D265:L265"/>
    <mergeCell ref="D264:L264"/>
    <mergeCell ref="D263:L263"/>
    <mergeCell ref="D262:L262"/>
    <mergeCell ref="D261:L261"/>
    <mergeCell ref="D280:L280"/>
    <mergeCell ref="D279:L279"/>
    <mergeCell ref="D278:L278"/>
    <mergeCell ref="D277:L277"/>
    <mergeCell ref="D276:L276"/>
    <mergeCell ref="D275:L275"/>
    <mergeCell ref="B274:C274"/>
    <mergeCell ref="B251:C251"/>
    <mergeCell ref="B234:C234"/>
    <mergeCell ref="O252:V252"/>
    <mergeCell ref="O251:V251"/>
    <mergeCell ref="O250:V250"/>
    <mergeCell ref="O249:V249"/>
    <mergeCell ref="O248:V248"/>
    <mergeCell ref="O247:V247"/>
    <mergeCell ref="O246:V246"/>
    <mergeCell ref="O245:V245"/>
    <mergeCell ref="O244:V244"/>
    <mergeCell ref="O243:V243"/>
    <mergeCell ref="O242:V242"/>
    <mergeCell ref="O241:V241"/>
    <mergeCell ref="O240:V240"/>
    <mergeCell ref="O239:V239"/>
    <mergeCell ref="O238:V238"/>
    <mergeCell ref="O237:V237"/>
    <mergeCell ref="O236:V236"/>
    <mergeCell ref="O235:V235"/>
    <mergeCell ref="O234:V234"/>
    <mergeCell ref="O255:V255"/>
    <mergeCell ref="O266:V266"/>
    <mergeCell ref="O265:V265"/>
    <mergeCell ref="O264:V264"/>
    <mergeCell ref="O263:V263"/>
    <mergeCell ref="O262:V262"/>
    <mergeCell ref="O261:V261"/>
    <mergeCell ref="O272:V272"/>
    <mergeCell ref="O260:V260"/>
    <mergeCell ref="O259:V259"/>
    <mergeCell ref="O258:V258"/>
    <mergeCell ref="O257:V257"/>
    <mergeCell ref="O256:V256"/>
    <mergeCell ref="O278:V278"/>
    <mergeCell ref="O277:V277"/>
    <mergeCell ref="O276:V276"/>
    <mergeCell ref="O275:V275"/>
    <mergeCell ref="O274:V274"/>
    <mergeCell ref="O273:V273"/>
    <mergeCell ref="B283:C285"/>
    <mergeCell ref="B286:C288"/>
    <mergeCell ref="D169:G169"/>
    <mergeCell ref="B167:I167"/>
    <mergeCell ref="AE243:AG246"/>
    <mergeCell ref="X283:X285"/>
    <mergeCell ref="Y281:Z292"/>
    <mergeCell ref="O254:V254"/>
    <mergeCell ref="O280:V280"/>
    <mergeCell ref="O279:V279"/>
    <mergeCell ref="J304:U305"/>
    <mergeCell ref="B290:C292"/>
    <mergeCell ref="D288:V289"/>
    <mergeCell ref="D286:V287"/>
    <mergeCell ref="D290:V292"/>
    <mergeCell ref="X286:X289"/>
    <mergeCell ref="X290:X292"/>
    <mergeCell ref="D304:G305"/>
    <mergeCell ref="D302:G303"/>
    <mergeCell ref="D296:G297"/>
  </mergeCells>
  <conditionalFormatting sqref="V267 W234:W280 L274 E252:K252 D241:L249 E282:L282 L251:L252 D262:D272 D252:D256 D279:D282 D275:L281 O234:O252 O254:O266 O268:O280">
    <cfRule type="containsText" dxfId="19" priority="52" stopIfTrue="1" operator="containsText" text="[ X ]">
      <formula>NOT(ISERROR(SEARCH("[ X ]",D234)))</formula>
    </cfRule>
  </conditionalFormatting>
  <conditionalFormatting sqref="M234:M281 C235:C250 C252:C273 C275:C282 N254:N266 N268:N280 N234:N252 B234:B282">
    <cfRule type="containsText" dxfId="18" priority="51" stopIfTrue="1" operator="containsText" text="[ X ] ">
      <formula>NOT(ISERROR(SEARCH("[ X ] ",B234)))</formula>
    </cfRule>
  </conditionalFormatting>
  <conditionalFormatting sqref="AB186:AE187">
    <cfRule type="cellIs" dxfId="17" priority="25" stopIfTrue="1" operator="equal">
      <formula>$AG$187</formula>
    </cfRule>
    <cfRule type="cellIs" dxfId="16" priority="26" stopIfTrue="1" operator="equal">
      <formula>$AG$186</formula>
    </cfRule>
  </conditionalFormatting>
  <conditionalFormatting sqref="AB189:AE190">
    <cfRule type="cellIs" dxfId="15" priority="21" stopIfTrue="1" operator="equal">
      <formula>$AG$190</formula>
    </cfRule>
    <cfRule type="cellIs" dxfId="14" priority="23" stopIfTrue="1" operator="equal">
      <formula>$AG$189</formula>
    </cfRule>
  </conditionalFormatting>
  <conditionalFormatting sqref="D183:Q184 D198:Q199 D203:Q204 D208:Q209 D213:Q214 D218:Q219 D223:Q224 D188:Q189 D193:Q194">
    <cfRule type="expression" dxfId="13" priority="578" stopIfTrue="1">
      <formula>$AB$186=$AG$187</formula>
    </cfRule>
  </conditionalFormatting>
  <conditionalFormatting sqref="P181:Q182 P186:Q187 P191:Q192 P196:Q197 P201:Q202 P206:Q207 P211:Q212 P216:Q217 P221:Q222">
    <cfRule type="expression" dxfId="12" priority="587" stopIfTrue="1">
      <formula>$AB$189=$AG$190</formula>
    </cfRule>
  </conditionalFormatting>
  <conditionalFormatting sqref="D178:Q179">
    <cfRule type="expression" dxfId="11" priority="596" stopIfTrue="1">
      <formula>$AB$186=$AG$187</formula>
    </cfRule>
  </conditionalFormatting>
  <conditionalFormatting sqref="P176:Q177">
    <cfRule type="expression" dxfId="10" priority="597" stopIfTrue="1">
      <formula>$AB$189=$AG$190</formula>
    </cfRule>
  </conditionalFormatting>
  <conditionalFormatting sqref="AB176 B174:Q174">
    <cfRule type="cellIs" dxfId="9" priority="605" stopIfTrue="1" operator="equal">
      <formula>$I$143</formula>
    </cfRule>
    <cfRule type="cellIs" dxfId="8" priority="606" stopIfTrue="1" operator="equal">
      <formula>$I$153</formula>
    </cfRule>
  </conditionalFormatting>
  <conditionalFormatting sqref="R174:V174">
    <cfRule type="expression" dxfId="7" priority="609" stopIfTrue="1">
      <formula>$AB$176=$I$153</formula>
    </cfRule>
  </conditionalFormatting>
  <conditionalFormatting sqref="D235:L250 D252:L273 D275:L281">
    <cfRule type="expression" dxfId="6" priority="12" stopIfTrue="1">
      <formula>$C235=$AC$244</formula>
    </cfRule>
  </conditionalFormatting>
  <conditionalFormatting sqref="N234:N252 N254:N260">
    <cfRule type="expression" dxfId="5" priority="6" stopIfTrue="1">
      <formula>$N199=$AC$244</formula>
    </cfRule>
  </conditionalFormatting>
  <conditionalFormatting sqref="O234:V252 O254:V266 O268:V280">
    <cfRule type="expression" dxfId="4" priority="5" stopIfTrue="1">
      <formula>$N234=$AC$244</formula>
    </cfRule>
  </conditionalFormatting>
  <conditionalFormatting sqref="C235:C250 C252:C273 C275:C281 N268:N280 N254:N266 N234:N252">
    <cfRule type="cellIs" dxfId="3" priority="1" stopIfTrue="1" operator="equal">
      <formula>$AC$244</formula>
    </cfRule>
  </conditionalFormatting>
  <conditionalFormatting sqref="N261:N266 N268:N280">
    <cfRule type="expression" dxfId="2" priority="613" stopIfTrue="1">
      <formula>$N227=$AC$244</formula>
    </cfRule>
  </conditionalFormatting>
  <dataValidations count="12">
    <dataValidation type="list" allowBlank="1" showInputMessage="1" showErrorMessage="1" sqref="D304:E304 J300 J296" xr:uid="{13D55DE2-82E2-467D-8486-0F4C892D2A94}">
      <formula1>$R$144:$R$146</formula1>
    </dataValidation>
    <dataValidation type="list" allowBlank="1" showInputMessage="1" showErrorMessage="1" sqref="D294:E294" xr:uid="{60006F04-02BD-4F33-9597-5119BCE883A5}">
      <formula1>$R$148:$R$151</formula1>
    </dataValidation>
    <dataValidation type="list" allowBlank="1" showInputMessage="1" showErrorMessage="1" sqref="F298" xr:uid="{01C2F4DA-1ABE-4008-8486-95D2A44D8C79}">
      <formula1>$F$143:$F$152</formula1>
    </dataValidation>
    <dataValidation type="list" allowBlank="1" showInputMessage="1" showErrorMessage="1" sqref="O294" xr:uid="{3CFC8FBD-28D9-433B-910B-AE61D05B9A6A}">
      <formula1>$R$153:$R$158</formula1>
    </dataValidation>
    <dataValidation type="list" allowBlank="1" showInputMessage="1" showErrorMessage="1" sqref="I169" xr:uid="{156A6F2D-5F85-4B21-94B5-0EFBC5B09658}">
      <formula1>$AI$143:$AI$155</formula1>
    </dataValidation>
    <dataValidation type="whole" allowBlank="1" showInputMessage="1" showErrorMessage="1" errorTitle="Type Numéro de Commande invalide" error="Merci de rentrer un nombre de 10 chiffres entre 45(12345678] et 62[12345678] (exemple : 4500123456)." sqref="L162" xr:uid="{9A19731A-E300-456C-AFA0-974ACCCFBBF7}">
      <formula1>4500000000</formula1>
      <formula2>6200000000</formula2>
    </dataValidation>
    <dataValidation type="list" allowBlank="1" showInputMessage="1" showErrorMessage="1" sqref="W233" xr:uid="{0F8AAD09-DC2D-4B30-BE77-B9DBE98AA26D}">
      <formula1>#REF!</formula1>
    </dataValidation>
    <dataValidation type="list" allowBlank="1" showInputMessage="1" showErrorMessage="1" sqref="AB186:AD186" xr:uid="{E8E9E39B-F488-4904-84FF-B93CE1EBDE24}">
      <formula1>$AG$186:$AG$187</formula1>
    </dataValidation>
    <dataValidation type="list" allowBlank="1" showInputMessage="1" showErrorMessage="1" sqref="AB189:AD189" xr:uid="{440AADF6-B741-4F50-ACDA-F670CB8FD834}">
      <formula1>$AG$189:$AG$190</formula1>
    </dataValidation>
    <dataValidation type="list" allowBlank="1" showInputMessage="1" showErrorMessage="1" sqref="AB176" xr:uid="{50D8E958-B76D-4C7B-B58F-18EC5FDAF084}">
      <formula1>$I$143:$I$156</formula1>
    </dataValidation>
    <dataValidation type="list" allowBlank="1" showInputMessage="1" showErrorMessage="1" sqref="AB161:AD162" xr:uid="{0F9899CB-8B38-4FC6-ADBF-5FED4D5ABB76}">
      <formula1>$AD$152:$AD$156</formula1>
    </dataValidation>
    <dataValidation type="list" allowBlank="1" showInputMessage="1" showErrorMessage="1" sqref="C275:C281 C235:C250 N234:N252 N254:N266 C252:C273 N268:N280" xr:uid="{A2FD085E-FAD9-437F-83E5-0C1575B96CAA}">
      <formula1>$AC$243:$AC$245</formula1>
    </dataValidation>
  </dataValidations>
  <printOptions horizontalCentered="1"/>
  <pageMargins left="0.15748031496062992" right="0.19685039370078741" top="0.27559055118110237" bottom="0.31496062992125984" header="0.27559055118110237" footer="0.31496062992125984"/>
  <pageSetup paperSize="9" scale="85" fitToHeight="2" orientation="portrait"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BCE80-655E-45F6-BA56-D33831AB8EBA}">
  <sheetPr codeName="Feuil2">
    <tabColor rgb="FF7030A0"/>
    <pageSetUpPr fitToPage="1"/>
  </sheetPr>
  <dimension ref="A1:Y155"/>
  <sheetViews>
    <sheetView showGridLines="0" showRowColHeaders="0" zoomScaleNormal="100" workbookViewId="0">
      <selection activeCell="Q30" sqref="Q30:S31"/>
    </sheetView>
  </sheetViews>
  <sheetFormatPr baseColWidth="10" defaultRowHeight="15" x14ac:dyDescent="0.25"/>
  <cols>
    <col min="1" max="1" width="2.7109375" style="6" customWidth="1"/>
    <col min="2" max="16" width="5.85546875" style="6" customWidth="1"/>
    <col min="17" max="17" width="5.85546875" style="11" customWidth="1"/>
    <col min="18" max="18" width="5.85546875" style="6" customWidth="1"/>
    <col min="19" max="19" width="5.85546875" style="12" customWidth="1"/>
    <col min="20" max="20" width="2.7109375" style="13" customWidth="1"/>
    <col min="21" max="21" width="2.7109375" style="6" customWidth="1"/>
    <col min="22" max="16384" width="11.42578125" style="6"/>
  </cols>
  <sheetData>
    <row r="1" spans="2:20" ht="10.5" customHeight="1" x14ac:dyDescent="0.25">
      <c r="B1" s="412" t="s">
        <v>0</v>
      </c>
      <c r="C1" s="413"/>
      <c r="D1" s="413"/>
      <c r="E1" s="413"/>
      <c r="F1" s="413"/>
      <c r="G1" s="413"/>
      <c r="H1" s="413"/>
      <c r="I1" s="413"/>
      <c r="J1" s="413"/>
      <c r="K1" s="413"/>
      <c r="L1" s="413"/>
      <c r="M1" s="1"/>
      <c r="N1" s="2"/>
      <c r="O1" s="3"/>
      <c r="P1" s="3"/>
      <c r="Q1" s="3"/>
      <c r="R1" s="3"/>
      <c r="S1" s="4"/>
      <c r="T1" s="5"/>
    </row>
    <row r="2" spans="2:20" ht="10.5" hidden="1" customHeight="1" x14ac:dyDescent="0.25">
      <c r="B2" s="9"/>
      <c r="C2" s="9"/>
      <c r="D2" s="9"/>
      <c r="E2" s="9"/>
      <c r="F2" s="9"/>
      <c r="G2" s="9"/>
      <c r="H2" s="9"/>
      <c r="I2" s="9"/>
      <c r="J2" s="9"/>
      <c r="K2" s="9"/>
      <c r="L2" s="9"/>
      <c r="M2" s="5"/>
      <c r="N2" s="10"/>
      <c r="O2" s="5"/>
      <c r="P2" s="5"/>
      <c r="Q2" s="5"/>
      <c r="R2" s="5"/>
      <c r="S2" s="5"/>
      <c r="T2" s="5"/>
    </row>
    <row r="3" spans="2:20" s="5" customFormat="1" ht="15" hidden="1" customHeight="1" thickBot="1" x14ac:dyDescent="0.3">
      <c r="D3" s="133"/>
      <c r="E3" s="5" t="s">
        <v>162</v>
      </c>
      <c r="H3" s="134"/>
      <c r="L3" s="47"/>
      <c r="M3" s="592" t="s">
        <v>33</v>
      </c>
      <c r="N3" s="592"/>
      <c r="O3" s="10"/>
      <c r="Q3" s="593" t="s">
        <v>36</v>
      </c>
      <c r="R3" s="593"/>
      <c r="S3" s="10"/>
    </row>
    <row r="4" spans="2:20" s="5" customFormat="1" ht="15" hidden="1" customHeight="1" x14ac:dyDescent="0.25">
      <c r="D4" s="135" t="s">
        <v>163</v>
      </c>
      <c r="E4" s="623" t="str">
        <f>IF('Fiche Creation Commande (P1)'!L162&lt;&gt;0,'Fiche Creation Commande (P1)'!L162,"")</f>
        <v/>
      </c>
      <c r="F4" s="624"/>
      <c r="G4" s="624"/>
      <c r="H4" s="624"/>
      <c r="I4" s="624"/>
      <c r="J4" s="624"/>
      <c r="K4" s="625"/>
      <c r="L4" s="47"/>
      <c r="M4" s="586" t="s">
        <v>178</v>
      </c>
      <c r="N4" s="586"/>
      <c r="O4" s="163" t="str">
        <f>IF('Fiche Creation Commande (P1)'!AB189=M4,"OUI","NON")</f>
        <v>NON</v>
      </c>
      <c r="Q4" s="587" t="s">
        <v>179</v>
      </c>
      <c r="R4" s="587"/>
      <c r="S4" s="163" t="str">
        <f>IF('Fiche Creation Commande (P1)'!AB186=Q4,"OUI","NON")</f>
        <v>NON</v>
      </c>
    </row>
    <row r="5" spans="2:20" s="5" customFormat="1" ht="15.75" hidden="1" customHeight="1" thickBot="1" x14ac:dyDescent="0.3">
      <c r="D5" s="135" t="s">
        <v>164</v>
      </c>
      <c r="E5" s="588" t="str">
        <f>IF('Fiche Creation Commande (P1)'!AB161&lt;&gt;0,'Fiche Creation Commande (P1)'!AB161,"")</f>
        <v>INITIALE</v>
      </c>
      <c r="F5" s="589"/>
      <c r="G5" s="589"/>
      <c r="H5" s="589"/>
      <c r="I5" s="589"/>
      <c r="J5" s="589"/>
      <c r="K5" s="590"/>
      <c r="L5" s="47"/>
      <c r="M5" s="586"/>
      <c r="N5" s="586"/>
      <c r="Q5" s="587"/>
      <c r="R5" s="587"/>
    </row>
    <row r="6" spans="2:20" s="5" customFormat="1" ht="15" hidden="1" customHeight="1" thickBot="1" x14ac:dyDescent="0.3">
      <c r="D6" s="135"/>
      <c r="E6" s="136"/>
      <c r="F6" s="136"/>
      <c r="G6" s="136"/>
      <c r="H6" s="136"/>
      <c r="I6" s="136"/>
      <c r="J6" s="136"/>
      <c r="K6" s="136"/>
      <c r="L6" s="55"/>
    </row>
    <row r="7" spans="2:20" s="5" customFormat="1" ht="15" hidden="1" customHeight="1" thickBot="1" x14ac:dyDescent="0.3">
      <c r="D7" s="135" t="s">
        <v>165</v>
      </c>
      <c r="E7" s="682" t="str">
        <f>IF('Fiche Creation Commande (P1)'!B168&lt;&gt;0,'Fiche Creation Commande (P1)'!B168,"")</f>
        <v>B VELLERE</v>
      </c>
      <c r="F7" s="683"/>
      <c r="G7" s="683"/>
      <c r="H7" s="683"/>
      <c r="I7" s="683"/>
      <c r="J7" s="683"/>
      <c r="K7" s="684"/>
      <c r="L7" s="47"/>
      <c r="M7" s="6"/>
      <c r="N7" s="7"/>
      <c r="O7" s="388" t="s">
        <v>166</v>
      </c>
      <c r="P7" s="389"/>
      <c r="Q7" s="389"/>
      <c r="R7" s="389"/>
      <c r="S7" s="399"/>
    </row>
    <row r="8" spans="2:20" s="5" customFormat="1" ht="15.75" hidden="1" customHeight="1" thickBot="1" x14ac:dyDescent="0.3">
      <c r="D8" s="135"/>
      <c r="L8" s="47"/>
      <c r="M8" s="6"/>
      <c r="N8" s="138" t="s">
        <v>167</v>
      </c>
      <c r="O8" s="390">
        <f>'Fiche Creation Commande (P1)'!$R$225</f>
        <v>30000</v>
      </c>
      <c r="P8" s="598"/>
      <c r="Q8" s="598"/>
      <c r="R8" s="598"/>
      <c r="S8" s="398"/>
    </row>
    <row r="9" spans="2:20" s="5" customFormat="1" ht="15" hidden="1" customHeight="1" x14ac:dyDescent="0.25">
      <c r="C9" s="591" t="s">
        <v>30</v>
      </c>
      <c r="D9" s="140">
        <v>1</v>
      </c>
      <c r="E9" s="630" t="str">
        <f>IF('Fiche Creation Commande (P1)'!J165&lt;&gt;0,'Fiche Creation Commande (P1)'!J165,"")</f>
        <v>Projet de racco Gaudiere Amarenco</v>
      </c>
      <c r="F9" s="624"/>
      <c r="G9" s="624"/>
      <c r="H9" s="624"/>
      <c r="I9" s="624"/>
      <c r="J9" s="624"/>
      <c r="K9" s="625"/>
      <c r="L9" s="47"/>
      <c r="N9" s="138" t="s">
        <v>168</v>
      </c>
      <c r="O9" s="392">
        <f>$O$79</f>
        <v>0</v>
      </c>
      <c r="P9" s="597"/>
      <c r="Q9" s="597"/>
      <c r="R9" s="597"/>
      <c r="S9" s="397"/>
    </row>
    <row r="10" spans="2:20" s="5" customFormat="1" ht="15" hidden="1" customHeight="1" thickBot="1" x14ac:dyDescent="0.3">
      <c r="C10" s="591"/>
      <c r="D10" s="141">
        <v>2</v>
      </c>
      <c r="E10" s="628" t="str">
        <f>IF('Fiche Creation Commande (P1)'!J167&lt;&gt;0,'Fiche Creation Commande (P1)'!J167,"")</f>
        <v>MCPO2 Debenas</v>
      </c>
      <c r="F10" s="628"/>
      <c r="G10" s="628"/>
      <c r="H10" s="628"/>
      <c r="I10" s="628"/>
      <c r="J10" s="628"/>
      <c r="K10" s="629"/>
      <c r="L10" s="47"/>
      <c r="N10" s="138" t="s">
        <v>169</v>
      </c>
      <c r="O10" s="594">
        <f>$O$142</f>
        <v>0</v>
      </c>
      <c r="P10" s="595"/>
      <c r="Q10" s="595"/>
      <c r="R10" s="595"/>
      <c r="S10" s="596"/>
    </row>
    <row r="11" spans="2:20" s="5" customFormat="1" ht="15" hidden="1" customHeight="1" thickBot="1" x14ac:dyDescent="0.3">
      <c r="C11" s="591"/>
      <c r="D11" s="141">
        <v>3</v>
      </c>
      <c r="E11" s="628" t="str">
        <f>IF('Fiche Creation Commande (P1)'!J169&lt;&gt;0,'Fiche Creation Commande (P1)'!J169,"")</f>
        <v/>
      </c>
      <c r="F11" s="628"/>
      <c r="G11" s="628"/>
      <c r="H11" s="628"/>
      <c r="I11" s="628"/>
      <c r="J11" s="628"/>
      <c r="K11" s="629"/>
      <c r="L11" s="47"/>
      <c r="N11" s="139"/>
      <c r="O11" s="388" t="s">
        <v>171</v>
      </c>
      <c r="P11" s="389"/>
      <c r="Q11" s="389"/>
      <c r="R11" s="389"/>
      <c r="S11" s="399"/>
    </row>
    <row r="12" spans="2:20" s="5" customFormat="1" ht="15" hidden="1" customHeight="1" thickBot="1" x14ac:dyDescent="0.3">
      <c r="C12" s="591"/>
      <c r="D12" s="142">
        <v>4</v>
      </c>
      <c r="E12" s="626" t="str">
        <f>IF('Fiche Creation Commande (P1)'!J172&lt;&gt;0,'Fiche Creation Commande (P1)'!J172,"")</f>
        <v/>
      </c>
      <c r="F12" s="626"/>
      <c r="G12" s="626"/>
      <c r="H12" s="626"/>
      <c r="I12" s="626"/>
      <c r="J12" s="626"/>
      <c r="K12" s="627"/>
      <c r="L12" s="55"/>
      <c r="N12" s="138" t="s">
        <v>172</v>
      </c>
      <c r="O12" s="390">
        <f>O8</f>
        <v>30000</v>
      </c>
      <c r="P12" s="598"/>
      <c r="Q12" s="598"/>
      <c r="R12" s="598"/>
      <c r="S12" s="398"/>
    </row>
    <row r="13" spans="2:20" s="5" customFormat="1" ht="15" hidden="1" customHeight="1" x14ac:dyDescent="0.25">
      <c r="D13" s="135"/>
      <c r="L13" s="47"/>
      <c r="N13" s="138" t="s">
        <v>173</v>
      </c>
      <c r="O13" s="392" t="str">
        <f>IF(O9&lt;&gt;0,O9-O8,"")</f>
        <v/>
      </c>
      <c r="P13" s="597"/>
      <c r="Q13" s="597"/>
      <c r="R13" s="597"/>
      <c r="S13" s="397"/>
    </row>
    <row r="14" spans="2:20" s="5" customFormat="1" ht="15" hidden="1" customHeight="1" thickBot="1" x14ac:dyDescent="0.3">
      <c r="D14" s="137"/>
      <c r="E14" s="143"/>
      <c r="F14" s="143"/>
      <c r="G14" s="143"/>
      <c r="H14" s="143"/>
      <c r="I14" s="143"/>
      <c r="J14" s="143"/>
      <c r="K14" s="143"/>
      <c r="L14" s="55"/>
      <c r="M14" s="48"/>
      <c r="N14" s="138" t="s">
        <v>174</v>
      </c>
      <c r="O14" s="394" t="str">
        <f>IF(O10&lt;&gt;0,O10-O9,"")</f>
        <v/>
      </c>
      <c r="P14" s="670"/>
      <c r="Q14" s="670"/>
      <c r="R14" s="670"/>
      <c r="S14" s="396"/>
    </row>
    <row r="15" spans="2:20" ht="15" hidden="1" customHeight="1" x14ac:dyDescent="0.25">
      <c r="K15" s="5"/>
      <c r="L15" s="55"/>
      <c r="T15" s="49"/>
    </row>
    <row r="16" spans="2:20" ht="10.5" customHeight="1" x14ac:dyDescent="0.25">
      <c r="B16" s="65" t="s">
        <v>0</v>
      </c>
      <c r="C16" s="65"/>
      <c r="D16" s="65"/>
      <c r="E16" s="65"/>
      <c r="F16" s="65"/>
      <c r="G16" s="66"/>
      <c r="H16" s="66"/>
      <c r="I16" s="66"/>
      <c r="J16" s="66"/>
      <c r="K16" s="66"/>
      <c r="L16" s="66"/>
      <c r="M16" s="66"/>
      <c r="N16" s="67"/>
      <c r="O16" s="66"/>
      <c r="P16" s="66"/>
      <c r="Q16" s="66"/>
      <c r="R16" s="66"/>
      <c r="S16" s="66"/>
      <c r="T16" s="5"/>
    </row>
    <row r="17" spans="1:25" ht="12" customHeight="1" thickBot="1" x14ac:dyDescent="0.3">
      <c r="A17" s="68"/>
      <c r="B17" s="69" t="s">
        <v>27</v>
      </c>
      <c r="C17" s="69"/>
      <c r="D17" s="69"/>
      <c r="E17" s="69"/>
      <c r="F17" s="69"/>
      <c r="G17" s="68"/>
      <c r="H17" s="68"/>
      <c r="I17" s="68"/>
      <c r="J17" s="68"/>
      <c r="K17" s="68"/>
      <c r="L17" s="68"/>
      <c r="M17" s="68"/>
      <c r="N17" s="68"/>
      <c r="O17" s="68"/>
      <c r="P17" s="68"/>
      <c r="Q17" s="70"/>
      <c r="R17" s="68"/>
      <c r="S17" s="68"/>
      <c r="T17" s="68"/>
    </row>
    <row r="18" spans="1:25" ht="12" customHeight="1" x14ac:dyDescent="0.25">
      <c r="A18" s="68"/>
      <c r="B18" s="72"/>
      <c r="C18" s="73"/>
      <c r="D18" s="671" t="s">
        <v>28</v>
      </c>
      <c r="E18" s="671"/>
      <c r="F18" s="671"/>
      <c r="G18" s="671"/>
      <c r="H18" s="671"/>
      <c r="I18" s="671"/>
      <c r="J18" s="672" t="str">
        <f>IF(Q27&lt;&gt;0,IF(E4&lt;&gt;0,E4,""),"")</f>
        <v/>
      </c>
      <c r="K18" s="672"/>
      <c r="L18" s="672"/>
      <c r="M18" s="672"/>
      <c r="N18" s="674" t="str">
        <f>IF(Q27&lt;&gt;0,IF(E5&lt;&gt;0,E5,""),"")</f>
        <v/>
      </c>
      <c r="O18" s="675"/>
      <c r="P18" s="678" t="str">
        <f>IF(Q90&lt;&gt;0,"Page 02 / 03",IF(Q27&lt;&gt;0,"Page 02 / 02","Page ..…/....."))</f>
        <v>Page ..…/.....</v>
      </c>
      <c r="Q18" s="678"/>
      <c r="R18" s="678"/>
      <c r="S18" s="679"/>
      <c r="T18" s="74"/>
      <c r="U18" s="88"/>
      <c r="V18" s="668" t="str">
        <f>IF(Q27&lt;&gt;0,"Vous débutez la Page 2, une 3ème page est disponible plus bas.","Les rappels de la page précédente apparaîtront lorsque vous aurez saisie le poste 110 (Qté+Montant Unitaire HT")</f>
        <v>Les rappels de la page précédente apparaîtront lorsque vous aurez saisie le poste 110 (Qté+Montant Unitaire HT</v>
      </c>
      <c r="W18" s="669"/>
      <c r="X18" s="669"/>
      <c r="Y18" s="669"/>
    </row>
    <row r="19" spans="1:25" ht="18" customHeight="1" thickBot="1" x14ac:dyDescent="0.3">
      <c r="A19" s="68"/>
      <c r="B19" s="75"/>
      <c r="C19" s="48"/>
      <c r="D19" s="425"/>
      <c r="E19" s="425"/>
      <c r="F19" s="425"/>
      <c r="G19" s="425"/>
      <c r="H19" s="425"/>
      <c r="I19" s="425"/>
      <c r="J19" s="673"/>
      <c r="K19" s="673"/>
      <c r="L19" s="673"/>
      <c r="M19" s="673"/>
      <c r="N19" s="676"/>
      <c r="O19" s="677"/>
      <c r="P19" s="680"/>
      <c r="Q19" s="680"/>
      <c r="R19" s="680"/>
      <c r="S19" s="681"/>
      <c r="T19" s="74"/>
      <c r="V19" s="668"/>
      <c r="W19" s="669"/>
      <c r="X19" s="669"/>
      <c r="Y19" s="669"/>
    </row>
    <row r="20" spans="1:25" ht="15" customHeight="1" thickBot="1" x14ac:dyDescent="0.3">
      <c r="A20" s="68"/>
      <c r="B20" s="418" t="s">
        <v>29</v>
      </c>
      <c r="C20" s="419"/>
      <c r="D20" s="419"/>
      <c r="E20" s="419"/>
      <c r="F20" s="419"/>
      <c r="G20" s="420"/>
      <c r="H20" s="418" t="s">
        <v>30</v>
      </c>
      <c r="I20" s="419"/>
      <c r="J20" s="419"/>
      <c r="K20" s="419"/>
      <c r="L20" s="419"/>
      <c r="M20" s="419"/>
      <c r="N20" s="420"/>
      <c r="O20" s="656" t="str">
        <f>IF(Q27&lt;&gt;0,"Rappel Sous-Total Page 1","Total HT")</f>
        <v>Total HT</v>
      </c>
      <c r="P20" s="657"/>
      <c r="Q20" s="657"/>
      <c r="R20" s="657"/>
      <c r="S20" s="658"/>
      <c r="T20" s="77"/>
      <c r="V20" s="668"/>
      <c r="W20" s="669"/>
      <c r="X20" s="669"/>
      <c r="Y20" s="669"/>
    </row>
    <row r="21" spans="1:25" s="76" customFormat="1" ht="13.15" customHeight="1" x14ac:dyDescent="0.25">
      <c r="A21" s="78"/>
      <c r="B21" s="659" t="s">
        <v>325</v>
      </c>
      <c r="C21" s="660"/>
      <c r="D21" s="660"/>
      <c r="E21" s="660"/>
      <c r="F21" s="660"/>
      <c r="G21" s="661"/>
      <c r="H21" s="605" t="str">
        <f>IF(Q27&lt;&gt;0,IF(E9&lt;&gt;0,CONCATENATE(E9," ",E10," ",E11," ",E12),""),"")</f>
        <v/>
      </c>
      <c r="I21" s="606"/>
      <c r="J21" s="606"/>
      <c r="K21" s="606"/>
      <c r="L21" s="606"/>
      <c r="M21" s="606"/>
      <c r="N21" s="607"/>
      <c r="O21" s="662" t="str">
        <f>IF(Q27&lt;&gt;0,O8,"")</f>
        <v/>
      </c>
      <c r="P21" s="663"/>
      <c r="Q21" s="663"/>
      <c r="R21" s="663"/>
      <c r="S21" s="664"/>
      <c r="T21" s="79"/>
      <c r="V21" s="668"/>
      <c r="W21" s="669"/>
      <c r="X21" s="669"/>
      <c r="Y21" s="669"/>
    </row>
    <row r="22" spans="1:25" s="76" customFormat="1" ht="13.15" customHeight="1" x14ac:dyDescent="0.25">
      <c r="A22" s="78"/>
      <c r="B22" s="599" t="str">
        <f>IF(Q27&lt;&gt;0,IF(E7&lt;&gt;0,E7,""),"")</f>
        <v/>
      </c>
      <c r="C22" s="600"/>
      <c r="D22" s="600"/>
      <c r="E22" s="600"/>
      <c r="F22" s="600"/>
      <c r="G22" s="601"/>
      <c r="H22" s="608"/>
      <c r="I22" s="609"/>
      <c r="J22" s="609"/>
      <c r="K22" s="609"/>
      <c r="L22" s="609"/>
      <c r="M22" s="609"/>
      <c r="N22" s="610"/>
      <c r="O22" s="665"/>
      <c r="P22" s="666"/>
      <c r="Q22" s="666"/>
      <c r="R22" s="666"/>
      <c r="S22" s="667"/>
      <c r="T22" s="82"/>
    </row>
    <row r="23" spans="1:25" s="76" customFormat="1" ht="13.15" customHeight="1" thickBot="1" x14ac:dyDescent="0.3">
      <c r="A23" s="78"/>
      <c r="B23" s="602"/>
      <c r="C23" s="603"/>
      <c r="D23" s="603"/>
      <c r="E23" s="603"/>
      <c r="F23" s="603"/>
      <c r="G23" s="604"/>
      <c r="H23" s="611"/>
      <c r="I23" s="612"/>
      <c r="J23" s="612"/>
      <c r="K23" s="612"/>
      <c r="L23" s="612"/>
      <c r="M23" s="612"/>
      <c r="N23" s="613"/>
      <c r="O23" s="653" t="s">
        <v>161</v>
      </c>
      <c r="P23" s="654"/>
      <c r="Q23" s="654"/>
      <c r="R23" s="654"/>
      <c r="S23" s="655"/>
      <c r="T23" s="82"/>
    </row>
    <row r="24" spans="1:25" ht="15" customHeight="1" x14ac:dyDescent="0.25">
      <c r="A24" s="68"/>
      <c r="B24" s="644">
        <v>110</v>
      </c>
      <c r="C24" s="447"/>
      <c r="D24" s="447"/>
      <c r="E24" s="447"/>
      <c r="F24" s="447"/>
      <c r="G24" s="447"/>
      <c r="H24" s="447"/>
      <c r="I24" s="447"/>
      <c r="J24" s="447"/>
      <c r="K24" s="447"/>
      <c r="L24" s="447"/>
      <c r="M24" s="472" t="s">
        <v>33</v>
      </c>
      <c r="N24" s="472"/>
      <c r="O24" s="472" t="s">
        <v>35</v>
      </c>
      <c r="P24" s="472"/>
      <c r="Q24" s="472" t="s">
        <v>319</v>
      </c>
      <c r="R24" s="472"/>
      <c r="S24" s="636"/>
      <c r="T24" s="90"/>
    </row>
    <row r="25" spans="1:25" ht="15" customHeight="1" x14ac:dyDescent="0.25">
      <c r="A25" s="68"/>
      <c r="B25" s="645"/>
      <c r="C25" s="471"/>
      <c r="D25" s="471"/>
      <c r="E25" s="471"/>
      <c r="F25" s="471"/>
      <c r="G25" s="471"/>
      <c r="H25" s="471"/>
      <c r="I25" s="471"/>
      <c r="J25" s="471"/>
      <c r="K25" s="471"/>
      <c r="L25" s="471"/>
      <c r="M25" s="637"/>
      <c r="N25" s="637"/>
      <c r="O25" s="453"/>
      <c r="P25" s="453"/>
      <c r="Q25" s="454"/>
      <c r="R25" s="454"/>
      <c r="S25" s="455"/>
      <c r="T25" s="90"/>
    </row>
    <row r="26" spans="1:25" ht="15" customHeight="1" x14ac:dyDescent="0.25">
      <c r="A26" s="68"/>
      <c r="B26" s="646"/>
      <c r="C26" s="471"/>
      <c r="D26" s="471"/>
      <c r="E26" s="471"/>
      <c r="F26" s="471"/>
      <c r="G26" s="471"/>
      <c r="H26" s="471"/>
      <c r="I26" s="471"/>
      <c r="J26" s="471"/>
      <c r="K26" s="471"/>
      <c r="L26" s="471"/>
      <c r="M26" s="637"/>
      <c r="N26" s="637"/>
      <c r="O26" s="453"/>
      <c r="P26" s="453"/>
      <c r="Q26" s="454"/>
      <c r="R26" s="454"/>
      <c r="S26" s="455"/>
      <c r="T26" s="87"/>
    </row>
    <row r="27" spans="1:25" ht="15" customHeight="1" x14ac:dyDescent="0.25">
      <c r="A27" s="68"/>
      <c r="B27" s="632" t="s">
        <v>36</v>
      </c>
      <c r="C27" s="475"/>
      <c r="D27" s="475"/>
      <c r="E27" s="475"/>
      <c r="F27" s="475"/>
      <c r="G27" s="475"/>
      <c r="H27" s="475"/>
      <c r="I27" s="475"/>
      <c r="J27" s="475"/>
      <c r="K27" s="475"/>
      <c r="L27" s="475"/>
      <c r="M27" s="475"/>
      <c r="N27" s="475"/>
      <c r="O27" s="473" t="s">
        <v>320</v>
      </c>
      <c r="P27" s="473"/>
      <c r="Q27" s="467">
        <f>O25*Q25</f>
        <v>0</v>
      </c>
      <c r="R27" s="467"/>
      <c r="S27" s="468"/>
      <c r="T27" s="90"/>
    </row>
    <row r="28" spans="1:25" ht="15" customHeight="1" thickBot="1" x14ac:dyDescent="0.3">
      <c r="A28" s="68"/>
      <c r="B28" s="633"/>
      <c r="C28" s="476"/>
      <c r="D28" s="476"/>
      <c r="E28" s="476"/>
      <c r="F28" s="476"/>
      <c r="G28" s="476"/>
      <c r="H28" s="476"/>
      <c r="I28" s="476"/>
      <c r="J28" s="476"/>
      <c r="K28" s="476"/>
      <c r="L28" s="476"/>
      <c r="M28" s="476"/>
      <c r="N28" s="476"/>
      <c r="O28" s="474"/>
      <c r="P28" s="474"/>
      <c r="Q28" s="469"/>
      <c r="R28" s="469"/>
      <c r="S28" s="470"/>
      <c r="T28" s="89"/>
    </row>
    <row r="29" spans="1:25" ht="15" customHeight="1" x14ac:dyDescent="0.25">
      <c r="A29" s="68"/>
      <c r="B29" s="647">
        <v>120</v>
      </c>
      <c r="C29" s="447"/>
      <c r="D29" s="650"/>
      <c r="E29" s="650"/>
      <c r="F29" s="650"/>
      <c r="G29" s="650"/>
      <c r="H29" s="650"/>
      <c r="I29" s="650"/>
      <c r="J29" s="650"/>
      <c r="K29" s="650"/>
      <c r="L29" s="650"/>
      <c r="M29" s="450" t="s">
        <v>33</v>
      </c>
      <c r="N29" s="450"/>
      <c r="O29" s="450" t="s">
        <v>35</v>
      </c>
      <c r="P29" s="450"/>
      <c r="Q29" s="450" t="s">
        <v>319</v>
      </c>
      <c r="R29" s="450"/>
      <c r="S29" s="451"/>
      <c r="T29" s="86"/>
    </row>
    <row r="30" spans="1:25" ht="15" customHeight="1" x14ac:dyDescent="0.25">
      <c r="A30" s="68"/>
      <c r="B30" s="648"/>
      <c r="C30" s="651"/>
      <c r="D30" s="651"/>
      <c r="E30" s="651"/>
      <c r="F30" s="651"/>
      <c r="G30" s="651"/>
      <c r="H30" s="651"/>
      <c r="I30" s="651"/>
      <c r="J30" s="651"/>
      <c r="K30" s="651"/>
      <c r="L30" s="651"/>
      <c r="M30" s="637"/>
      <c r="N30" s="652"/>
      <c r="O30" s="453"/>
      <c r="P30" s="453"/>
      <c r="Q30" s="638"/>
      <c r="R30" s="638"/>
      <c r="S30" s="639"/>
      <c r="T30" s="86"/>
    </row>
    <row r="31" spans="1:25" ht="15" customHeight="1" x14ac:dyDescent="0.25">
      <c r="A31" s="68"/>
      <c r="B31" s="649"/>
      <c r="C31" s="651"/>
      <c r="D31" s="651"/>
      <c r="E31" s="651"/>
      <c r="F31" s="651"/>
      <c r="G31" s="651"/>
      <c r="H31" s="651"/>
      <c r="I31" s="651"/>
      <c r="J31" s="651"/>
      <c r="K31" s="651"/>
      <c r="L31" s="651"/>
      <c r="M31" s="652"/>
      <c r="N31" s="652"/>
      <c r="O31" s="453"/>
      <c r="P31" s="453"/>
      <c r="Q31" s="638"/>
      <c r="R31" s="638"/>
      <c r="S31" s="639"/>
      <c r="T31" s="87"/>
    </row>
    <row r="32" spans="1:25" ht="15" customHeight="1" x14ac:dyDescent="0.25">
      <c r="A32" s="68"/>
      <c r="B32" s="640" t="s">
        <v>36</v>
      </c>
      <c r="C32" s="463"/>
      <c r="D32" s="463"/>
      <c r="E32" s="463"/>
      <c r="F32" s="463"/>
      <c r="G32" s="463"/>
      <c r="H32" s="463"/>
      <c r="I32" s="463"/>
      <c r="J32" s="463"/>
      <c r="K32" s="463"/>
      <c r="L32" s="463"/>
      <c r="M32" s="463"/>
      <c r="N32" s="463"/>
      <c r="O32" s="465" t="s">
        <v>320</v>
      </c>
      <c r="P32" s="465"/>
      <c r="Q32" s="467">
        <f>O30*Q30</f>
        <v>0</v>
      </c>
      <c r="R32" s="467"/>
      <c r="S32" s="468"/>
      <c r="T32" s="86"/>
    </row>
    <row r="33" spans="1:20" ht="15" customHeight="1" thickBot="1" x14ac:dyDescent="0.3">
      <c r="A33" s="68"/>
      <c r="B33" s="641"/>
      <c r="C33" s="464"/>
      <c r="D33" s="464"/>
      <c r="E33" s="464"/>
      <c r="F33" s="464"/>
      <c r="G33" s="464"/>
      <c r="H33" s="464"/>
      <c r="I33" s="464"/>
      <c r="J33" s="464"/>
      <c r="K33" s="464"/>
      <c r="L33" s="464"/>
      <c r="M33" s="464"/>
      <c r="N33" s="464"/>
      <c r="O33" s="466"/>
      <c r="P33" s="466"/>
      <c r="Q33" s="469"/>
      <c r="R33" s="469"/>
      <c r="S33" s="470"/>
      <c r="T33" s="89"/>
    </row>
    <row r="34" spans="1:20" ht="15" customHeight="1" x14ac:dyDescent="0.25">
      <c r="A34" s="68"/>
      <c r="B34" s="644">
        <v>130</v>
      </c>
      <c r="C34" s="447"/>
      <c r="D34" s="447"/>
      <c r="E34" s="447"/>
      <c r="F34" s="447"/>
      <c r="G34" s="447"/>
      <c r="H34" s="447"/>
      <c r="I34" s="447"/>
      <c r="J34" s="447"/>
      <c r="K34" s="447"/>
      <c r="L34" s="447"/>
      <c r="M34" s="472" t="s">
        <v>33</v>
      </c>
      <c r="N34" s="472"/>
      <c r="O34" s="472" t="s">
        <v>35</v>
      </c>
      <c r="P34" s="472"/>
      <c r="Q34" s="472" t="s">
        <v>319</v>
      </c>
      <c r="R34" s="472"/>
      <c r="S34" s="636"/>
      <c r="T34" s="90"/>
    </row>
    <row r="35" spans="1:20" ht="15" customHeight="1" x14ac:dyDescent="0.25">
      <c r="A35" s="68"/>
      <c r="B35" s="645"/>
      <c r="C35" s="471"/>
      <c r="D35" s="471"/>
      <c r="E35" s="471"/>
      <c r="F35" s="471"/>
      <c r="G35" s="471"/>
      <c r="H35" s="471"/>
      <c r="I35" s="471"/>
      <c r="J35" s="471"/>
      <c r="K35" s="471"/>
      <c r="L35" s="471"/>
      <c r="M35" s="637"/>
      <c r="N35" s="637"/>
      <c r="O35" s="453"/>
      <c r="P35" s="453"/>
      <c r="Q35" s="638"/>
      <c r="R35" s="638"/>
      <c r="S35" s="639"/>
      <c r="T35" s="90"/>
    </row>
    <row r="36" spans="1:20" ht="15" customHeight="1" x14ac:dyDescent="0.25">
      <c r="A36" s="68"/>
      <c r="B36" s="646"/>
      <c r="C36" s="471"/>
      <c r="D36" s="471"/>
      <c r="E36" s="471"/>
      <c r="F36" s="471"/>
      <c r="G36" s="471"/>
      <c r="H36" s="471"/>
      <c r="I36" s="471"/>
      <c r="J36" s="471"/>
      <c r="K36" s="471"/>
      <c r="L36" s="471"/>
      <c r="M36" s="637"/>
      <c r="N36" s="637"/>
      <c r="O36" s="453"/>
      <c r="P36" s="453"/>
      <c r="Q36" s="638"/>
      <c r="R36" s="638"/>
      <c r="S36" s="639"/>
      <c r="T36" s="87"/>
    </row>
    <row r="37" spans="1:20" ht="15" customHeight="1" x14ac:dyDescent="0.25">
      <c r="A37" s="68"/>
      <c r="B37" s="632" t="s">
        <v>36</v>
      </c>
      <c r="C37" s="463"/>
      <c r="D37" s="463"/>
      <c r="E37" s="463"/>
      <c r="F37" s="463"/>
      <c r="G37" s="463"/>
      <c r="H37" s="463"/>
      <c r="I37" s="463"/>
      <c r="J37" s="463"/>
      <c r="K37" s="463"/>
      <c r="L37" s="463"/>
      <c r="M37" s="463"/>
      <c r="N37" s="463"/>
      <c r="O37" s="473" t="s">
        <v>320</v>
      </c>
      <c r="P37" s="473"/>
      <c r="Q37" s="467">
        <f>O35*Q35</f>
        <v>0</v>
      </c>
      <c r="R37" s="467"/>
      <c r="S37" s="468"/>
      <c r="T37" s="90"/>
    </row>
    <row r="38" spans="1:20" ht="15" customHeight="1" thickBot="1" x14ac:dyDescent="0.3">
      <c r="A38" s="68"/>
      <c r="B38" s="633"/>
      <c r="C38" s="464"/>
      <c r="D38" s="464"/>
      <c r="E38" s="464"/>
      <c r="F38" s="464"/>
      <c r="G38" s="464"/>
      <c r="H38" s="464"/>
      <c r="I38" s="464"/>
      <c r="J38" s="464"/>
      <c r="K38" s="464"/>
      <c r="L38" s="464"/>
      <c r="M38" s="464"/>
      <c r="N38" s="464"/>
      <c r="O38" s="474"/>
      <c r="P38" s="474"/>
      <c r="Q38" s="469"/>
      <c r="R38" s="469"/>
      <c r="S38" s="470"/>
      <c r="T38" s="89"/>
    </row>
    <row r="39" spans="1:20" ht="15" customHeight="1" x14ac:dyDescent="0.25">
      <c r="A39" s="68"/>
      <c r="B39" s="642">
        <v>140</v>
      </c>
      <c r="C39" s="447"/>
      <c r="D39" s="447"/>
      <c r="E39" s="447"/>
      <c r="F39" s="447"/>
      <c r="G39" s="447"/>
      <c r="H39" s="447"/>
      <c r="I39" s="447"/>
      <c r="J39" s="447"/>
      <c r="K39" s="447"/>
      <c r="L39" s="447"/>
      <c r="M39" s="450" t="s">
        <v>33</v>
      </c>
      <c r="N39" s="450"/>
      <c r="O39" s="450" t="s">
        <v>35</v>
      </c>
      <c r="P39" s="450"/>
      <c r="Q39" s="450" t="s">
        <v>319</v>
      </c>
      <c r="R39" s="450"/>
      <c r="S39" s="451"/>
      <c r="T39" s="86"/>
    </row>
    <row r="40" spans="1:20" ht="15" customHeight="1" x14ac:dyDescent="0.25">
      <c r="A40" s="68"/>
      <c r="B40" s="643"/>
      <c r="C40" s="471"/>
      <c r="D40" s="471"/>
      <c r="E40" s="471"/>
      <c r="F40" s="471"/>
      <c r="G40" s="471"/>
      <c r="H40" s="471"/>
      <c r="I40" s="471"/>
      <c r="J40" s="471"/>
      <c r="K40" s="471"/>
      <c r="L40" s="471"/>
      <c r="M40" s="637"/>
      <c r="N40" s="637"/>
      <c r="O40" s="453"/>
      <c r="P40" s="453"/>
      <c r="Q40" s="638"/>
      <c r="R40" s="638"/>
      <c r="S40" s="639"/>
      <c r="T40" s="86"/>
    </row>
    <row r="41" spans="1:20" ht="15" customHeight="1" x14ac:dyDescent="0.25">
      <c r="A41" s="68"/>
      <c r="B41" s="643"/>
      <c r="C41" s="471"/>
      <c r="D41" s="471"/>
      <c r="E41" s="471"/>
      <c r="F41" s="471"/>
      <c r="G41" s="471"/>
      <c r="H41" s="471"/>
      <c r="I41" s="471"/>
      <c r="J41" s="471"/>
      <c r="K41" s="471"/>
      <c r="L41" s="471"/>
      <c r="M41" s="637"/>
      <c r="N41" s="637"/>
      <c r="O41" s="453"/>
      <c r="P41" s="453"/>
      <c r="Q41" s="638"/>
      <c r="R41" s="638"/>
      <c r="S41" s="639"/>
      <c r="T41" s="87"/>
    </row>
    <row r="42" spans="1:20" ht="15" customHeight="1" x14ac:dyDescent="0.25">
      <c r="A42" s="68"/>
      <c r="B42" s="640" t="s">
        <v>36</v>
      </c>
      <c r="C42" s="463"/>
      <c r="D42" s="463"/>
      <c r="E42" s="463"/>
      <c r="F42" s="463"/>
      <c r="G42" s="463"/>
      <c r="H42" s="463"/>
      <c r="I42" s="463"/>
      <c r="J42" s="463"/>
      <c r="K42" s="463"/>
      <c r="L42" s="463"/>
      <c r="M42" s="463"/>
      <c r="N42" s="463"/>
      <c r="O42" s="465" t="s">
        <v>320</v>
      </c>
      <c r="P42" s="465"/>
      <c r="Q42" s="467">
        <f>O40*Q40</f>
        <v>0</v>
      </c>
      <c r="R42" s="467"/>
      <c r="S42" s="468"/>
      <c r="T42" s="86"/>
    </row>
    <row r="43" spans="1:20" ht="15" customHeight="1" thickBot="1" x14ac:dyDescent="0.3">
      <c r="A43" s="68"/>
      <c r="B43" s="641"/>
      <c r="C43" s="464"/>
      <c r="D43" s="464"/>
      <c r="E43" s="464"/>
      <c r="F43" s="464"/>
      <c r="G43" s="464"/>
      <c r="H43" s="464"/>
      <c r="I43" s="464"/>
      <c r="J43" s="464"/>
      <c r="K43" s="464"/>
      <c r="L43" s="464"/>
      <c r="M43" s="464"/>
      <c r="N43" s="464"/>
      <c r="O43" s="466"/>
      <c r="P43" s="466"/>
      <c r="Q43" s="469"/>
      <c r="R43" s="469"/>
      <c r="S43" s="470"/>
      <c r="T43" s="89"/>
    </row>
    <row r="44" spans="1:20" ht="15" customHeight="1" x14ac:dyDescent="0.25">
      <c r="A44" s="68"/>
      <c r="B44" s="634">
        <v>150</v>
      </c>
      <c r="C44" s="447"/>
      <c r="D44" s="447"/>
      <c r="E44" s="447"/>
      <c r="F44" s="447"/>
      <c r="G44" s="447"/>
      <c r="H44" s="447"/>
      <c r="I44" s="447"/>
      <c r="J44" s="447"/>
      <c r="K44" s="447"/>
      <c r="L44" s="447"/>
      <c r="M44" s="472" t="s">
        <v>33</v>
      </c>
      <c r="N44" s="472"/>
      <c r="O44" s="472" t="s">
        <v>35</v>
      </c>
      <c r="P44" s="472"/>
      <c r="Q44" s="472" t="s">
        <v>319</v>
      </c>
      <c r="R44" s="472"/>
      <c r="S44" s="636"/>
      <c r="T44" s="90"/>
    </row>
    <row r="45" spans="1:20" ht="15" customHeight="1" x14ac:dyDescent="0.25">
      <c r="A45" s="68"/>
      <c r="B45" s="635"/>
      <c r="C45" s="471"/>
      <c r="D45" s="471"/>
      <c r="E45" s="471"/>
      <c r="F45" s="471"/>
      <c r="G45" s="471"/>
      <c r="H45" s="471"/>
      <c r="I45" s="471"/>
      <c r="J45" s="471"/>
      <c r="K45" s="471"/>
      <c r="L45" s="471"/>
      <c r="M45" s="637"/>
      <c r="N45" s="637"/>
      <c r="O45" s="453"/>
      <c r="P45" s="453"/>
      <c r="Q45" s="638"/>
      <c r="R45" s="638"/>
      <c r="S45" s="639"/>
      <c r="T45" s="90"/>
    </row>
    <row r="46" spans="1:20" ht="15" customHeight="1" x14ac:dyDescent="0.25">
      <c r="A46" s="68"/>
      <c r="B46" s="635"/>
      <c r="C46" s="471"/>
      <c r="D46" s="471"/>
      <c r="E46" s="471"/>
      <c r="F46" s="471"/>
      <c r="G46" s="471"/>
      <c r="H46" s="471"/>
      <c r="I46" s="471"/>
      <c r="J46" s="471"/>
      <c r="K46" s="471"/>
      <c r="L46" s="471"/>
      <c r="M46" s="637"/>
      <c r="N46" s="637"/>
      <c r="O46" s="453"/>
      <c r="P46" s="453"/>
      <c r="Q46" s="638"/>
      <c r="R46" s="638"/>
      <c r="S46" s="639"/>
      <c r="T46" s="87"/>
    </row>
    <row r="47" spans="1:20" ht="15" customHeight="1" x14ac:dyDescent="0.25">
      <c r="A47" s="68"/>
      <c r="B47" s="632" t="s">
        <v>36</v>
      </c>
      <c r="C47" s="463"/>
      <c r="D47" s="463"/>
      <c r="E47" s="463"/>
      <c r="F47" s="463"/>
      <c r="G47" s="463"/>
      <c r="H47" s="463"/>
      <c r="I47" s="463"/>
      <c r="J47" s="463"/>
      <c r="K47" s="463"/>
      <c r="L47" s="463"/>
      <c r="M47" s="463"/>
      <c r="N47" s="463"/>
      <c r="O47" s="473" t="s">
        <v>320</v>
      </c>
      <c r="P47" s="473"/>
      <c r="Q47" s="467">
        <f>O45*Q45</f>
        <v>0</v>
      </c>
      <c r="R47" s="467"/>
      <c r="S47" s="468"/>
      <c r="T47" s="90"/>
    </row>
    <row r="48" spans="1:20" ht="15" customHeight="1" thickBot="1" x14ac:dyDescent="0.3">
      <c r="A48" s="68"/>
      <c r="B48" s="633"/>
      <c r="C48" s="464"/>
      <c r="D48" s="464"/>
      <c r="E48" s="464"/>
      <c r="F48" s="464"/>
      <c r="G48" s="464"/>
      <c r="H48" s="464"/>
      <c r="I48" s="464"/>
      <c r="J48" s="464"/>
      <c r="K48" s="464"/>
      <c r="L48" s="464"/>
      <c r="M48" s="464"/>
      <c r="N48" s="464"/>
      <c r="O48" s="474"/>
      <c r="P48" s="474"/>
      <c r="Q48" s="469"/>
      <c r="R48" s="469"/>
      <c r="S48" s="470"/>
      <c r="T48" s="89"/>
    </row>
    <row r="49" spans="1:20" ht="15" customHeight="1" x14ac:dyDescent="0.25">
      <c r="A49" s="68"/>
      <c r="B49" s="642">
        <v>160</v>
      </c>
      <c r="C49" s="447"/>
      <c r="D49" s="447"/>
      <c r="E49" s="447"/>
      <c r="F49" s="447"/>
      <c r="G49" s="447"/>
      <c r="H49" s="447"/>
      <c r="I49" s="447"/>
      <c r="J49" s="447"/>
      <c r="K49" s="447"/>
      <c r="L49" s="447"/>
      <c r="M49" s="450" t="s">
        <v>33</v>
      </c>
      <c r="N49" s="450"/>
      <c r="O49" s="450" t="s">
        <v>35</v>
      </c>
      <c r="P49" s="450"/>
      <c r="Q49" s="450" t="s">
        <v>319</v>
      </c>
      <c r="R49" s="450"/>
      <c r="S49" s="451"/>
      <c r="T49" s="86"/>
    </row>
    <row r="50" spans="1:20" ht="15" customHeight="1" x14ac:dyDescent="0.25">
      <c r="A50" s="68"/>
      <c r="B50" s="643"/>
      <c r="C50" s="471"/>
      <c r="D50" s="471"/>
      <c r="E50" s="471"/>
      <c r="F50" s="471"/>
      <c r="G50" s="471"/>
      <c r="H50" s="471"/>
      <c r="I50" s="471"/>
      <c r="J50" s="471"/>
      <c r="K50" s="471"/>
      <c r="L50" s="471"/>
      <c r="M50" s="637"/>
      <c r="N50" s="637"/>
      <c r="O50" s="453"/>
      <c r="P50" s="453"/>
      <c r="Q50" s="638"/>
      <c r="R50" s="638"/>
      <c r="S50" s="639"/>
      <c r="T50" s="86"/>
    </row>
    <row r="51" spans="1:20" ht="15" customHeight="1" x14ac:dyDescent="0.25">
      <c r="A51" s="68"/>
      <c r="B51" s="643"/>
      <c r="C51" s="471"/>
      <c r="D51" s="471"/>
      <c r="E51" s="471"/>
      <c r="F51" s="471"/>
      <c r="G51" s="471"/>
      <c r="H51" s="471"/>
      <c r="I51" s="471"/>
      <c r="J51" s="471"/>
      <c r="K51" s="471"/>
      <c r="L51" s="471"/>
      <c r="M51" s="637"/>
      <c r="N51" s="637"/>
      <c r="O51" s="453"/>
      <c r="P51" s="453"/>
      <c r="Q51" s="638"/>
      <c r="R51" s="638"/>
      <c r="S51" s="639"/>
      <c r="T51" s="87"/>
    </row>
    <row r="52" spans="1:20" ht="15" customHeight="1" x14ac:dyDescent="0.25">
      <c r="A52" s="68"/>
      <c r="B52" s="640" t="s">
        <v>36</v>
      </c>
      <c r="C52" s="463"/>
      <c r="D52" s="463"/>
      <c r="E52" s="463"/>
      <c r="F52" s="463"/>
      <c r="G52" s="463"/>
      <c r="H52" s="463"/>
      <c r="I52" s="463"/>
      <c r="J52" s="463"/>
      <c r="K52" s="463"/>
      <c r="L52" s="463"/>
      <c r="M52" s="463"/>
      <c r="N52" s="463"/>
      <c r="O52" s="465" t="s">
        <v>320</v>
      </c>
      <c r="P52" s="465"/>
      <c r="Q52" s="467">
        <f>O50*Q50</f>
        <v>0</v>
      </c>
      <c r="R52" s="467"/>
      <c r="S52" s="468"/>
      <c r="T52" s="86"/>
    </row>
    <row r="53" spans="1:20" ht="15" customHeight="1" thickBot="1" x14ac:dyDescent="0.3">
      <c r="A53" s="68"/>
      <c r="B53" s="641"/>
      <c r="C53" s="464"/>
      <c r="D53" s="464"/>
      <c r="E53" s="464"/>
      <c r="F53" s="464"/>
      <c r="G53" s="464"/>
      <c r="H53" s="464"/>
      <c r="I53" s="464"/>
      <c r="J53" s="464"/>
      <c r="K53" s="464"/>
      <c r="L53" s="464"/>
      <c r="M53" s="464"/>
      <c r="N53" s="464"/>
      <c r="O53" s="466"/>
      <c r="P53" s="466"/>
      <c r="Q53" s="469"/>
      <c r="R53" s="469"/>
      <c r="S53" s="470"/>
      <c r="T53" s="89"/>
    </row>
    <row r="54" spans="1:20" ht="15" customHeight="1" x14ac:dyDescent="0.25">
      <c r="A54" s="68"/>
      <c r="B54" s="634">
        <v>170</v>
      </c>
      <c r="C54" s="447"/>
      <c r="D54" s="447"/>
      <c r="E54" s="447"/>
      <c r="F54" s="447"/>
      <c r="G54" s="447"/>
      <c r="H54" s="447"/>
      <c r="I54" s="447"/>
      <c r="J54" s="447"/>
      <c r="K54" s="447"/>
      <c r="L54" s="447"/>
      <c r="M54" s="472" t="s">
        <v>33</v>
      </c>
      <c r="N54" s="472"/>
      <c r="O54" s="472" t="s">
        <v>35</v>
      </c>
      <c r="P54" s="472"/>
      <c r="Q54" s="472" t="s">
        <v>319</v>
      </c>
      <c r="R54" s="472"/>
      <c r="S54" s="636"/>
      <c r="T54" s="90"/>
    </row>
    <row r="55" spans="1:20" ht="15" customHeight="1" x14ac:dyDescent="0.25">
      <c r="A55" s="68"/>
      <c r="B55" s="635"/>
      <c r="C55" s="471"/>
      <c r="D55" s="471"/>
      <c r="E55" s="471"/>
      <c r="F55" s="471"/>
      <c r="G55" s="471"/>
      <c r="H55" s="471"/>
      <c r="I55" s="471"/>
      <c r="J55" s="471"/>
      <c r="K55" s="471"/>
      <c r="L55" s="471"/>
      <c r="M55" s="637"/>
      <c r="N55" s="637"/>
      <c r="O55" s="453"/>
      <c r="P55" s="453"/>
      <c r="Q55" s="638"/>
      <c r="R55" s="638"/>
      <c r="S55" s="639"/>
      <c r="T55" s="90"/>
    </row>
    <row r="56" spans="1:20" ht="15" customHeight="1" x14ac:dyDescent="0.25">
      <c r="A56" s="68"/>
      <c r="B56" s="635"/>
      <c r="C56" s="471"/>
      <c r="D56" s="471"/>
      <c r="E56" s="471"/>
      <c r="F56" s="471"/>
      <c r="G56" s="471"/>
      <c r="H56" s="471"/>
      <c r="I56" s="471"/>
      <c r="J56" s="471"/>
      <c r="K56" s="471"/>
      <c r="L56" s="471"/>
      <c r="M56" s="637"/>
      <c r="N56" s="637"/>
      <c r="O56" s="453"/>
      <c r="P56" s="453"/>
      <c r="Q56" s="638"/>
      <c r="R56" s="638"/>
      <c r="S56" s="639"/>
      <c r="T56" s="87"/>
    </row>
    <row r="57" spans="1:20" ht="15" customHeight="1" x14ac:dyDescent="0.25">
      <c r="A57" s="68"/>
      <c r="B57" s="632" t="s">
        <v>36</v>
      </c>
      <c r="C57" s="463"/>
      <c r="D57" s="463"/>
      <c r="E57" s="463"/>
      <c r="F57" s="463"/>
      <c r="G57" s="463"/>
      <c r="H57" s="463"/>
      <c r="I57" s="463"/>
      <c r="J57" s="463"/>
      <c r="K57" s="463"/>
      <c r="L57" s="463"/>
      <c r="M57" s="463"/>
      <c r="N57" s="463"/>
      <c r="O57" s="473" t="s">
        <v>320</v>
      </c>
      <c r="P57" s="473"/>
      <c r="Q57" s="467">
        <f>O55*Q55</f>
        <v>0</v>
      </c>
      <c r="R57" s="467"/>
      <c r="S57" s="468"/>
      <c r="T57" s="90"/>
    </row>
    <row r="58" spans="1:20" ht="15" customHeight="1" thickBot="1" x14ac:dyDescent="0.3">
      <c r="A58" s="68"/>
      <c r="B58" s="633"/>
      <c r="C58" s="464"/>
      <c r="D58" s="464"/>
      <c r="E58" s="464"/>
      <c r="F58" s="464"/>
      <c r="G58" s="464"/>
      <c r="H58" s="464"/>
      <c r="I58" s="464"/>
      <c r="J58" s="464"/>
      <c r="K58" s="464"/>
      <c r="L58" s="464"/>
      <c r="M58" s="464"/>
      <c r="N58" s="464"/>
      <c r="O58" s="474"/>
      <c r="P58" s="474"/>
      <c r="Q58" s="469"/>
      <c r="R58" s="469"/>
      <c r="S58" s="470"/>
      <c r="T58" s="89"/>
    </row>
    <row r="59" spans="1:20" ht="15" customHeight="1" x14ac:dyDescent="0.25">
      <c r="A59" s="68"/>
      <c r="B59" s="642">
        <v>180</v>
      </c>
      <c r="C59" s="447"/>
      <c r="D59" s="447"/>
      <c r="E59" s="447"/>
      <c r="F59" s="447"/>
      <c r="G59" s="447"/>
      <c r="H59" s="447"/>
      <c r="I59" s="447"/>
      <c r="J59" s="447"/>
      <c r="K59" s="447"/>
      <c r="L59" s="447"/>
      <c r="M59" s="450" t="s">
        <v>33</v>
      </c>
      <c r="N59" s="450"/>
      <c r="O59" s="450" t="s">
        <v>35</v>
      </c>
      <c r="P59" s="450"/>
      <c r="Q59" s="450" t="s">
        <v>319</v>
      </c>
      <c r="R59" s="450"/>
      <c r="S59" s="451"/>
      <c r="T59" s="86"/>
    </row>
    <row r="60" spans="1:20" ht="15" customHeight="1" x14ac:dyDescent="0.25">
      <c r="A60" s="68"/>
      <c r="B60" s="643"/>
      <c r="C60" s="471"/>
      <c r="D60" s="471"/>
      <c r="E60" s="471"/>
      <c r="F60" s="471"/>
      <c r="G60" s="471"/>
      <c r="H60" s="471"/>
      <c r="I60" s="471"/>
      <c r="J60" s="471"/>
      <c r="K60" s="471"/>
      <c r="L60" s="471"/>
      <c r="M60" s="637"/>
      <c r="N60" s="637"/>
      <c r="O60" s="453"/>
      <c r="P60" s="453"/>
      <c r="Q60" s="638"/>
      <c r="R60" s="638"/>
      <c r="S60" s="639"/>
      <c r="T60" s="86"/>
    </row>
    <row r="61" spans="1:20" ht="15" customHeight="1" x14ac:dyDescent="0.25">
      <c r="A61" s="68"/>
      <c r="B61" s="643"/>
      <c r="C61" s="471"/>
      <c r="D61" s="471"/>
      <c r="E61" s="471"/>
      <c r="F61" s="471"/>
      <c r="G61" s="471"/>
      <c r="H61" s="471"/>
      <c r="I61" s="471"/>
      <c r="J61" s="471"/>
      <c r="K61" s="471"/>
      <c r="L61" s="471"/>
      <c r="M61" s="637"/>
      <c r="N61" s="637"/>
      <c r="O61" s="453"/>
      <c r="P61" s="453"/>
      <c r="Q61" s="638"/>
      <c r="R61" s="638"/>
      <c r="S61" s="639"/>
      <c r="T61" s="87"/>
    </row>
    <row r="62" spans="1:20" ht="15" customHeight="1" x14ac:dyDescent="0.25">
      <c r="A62" s="68"/>
      <c r="B62" s="640" t="s">
        <v>36</v>
      </c>
      <c r="C62" s="463"/>
      <c r="D62" s="463"/>
      <c r="E62" s="463"/>
      <c r="F62" s="463"/>
      <c r="G62" s="463"/>
      <c r="H62" s="463"/>
      <c r="I62" s="463"/>
      <c r="J62" s="463"/>
      <c r="K62" s="463"/>
      <c r="L62" s="463"/>
      <c r="M62" s="463"/>
      <c r="N62" s="463"/>
      <c r="O62" s="465" t="s">
        <v>320</v>
      </c>
      <c r="P62" s="465"/>
      <c r="Q62" s="467">
        <f>O60*Q60</f>
        <v>0</v>
      </c>
      <c r="R62" s="467"/>
      <c r="S62" s="468"/>
      <c r="T62" s="86"/>
    </row>
    <row r="63" spans="1:20" ht="15" customHeight="1" thickBot="1" x14ac:dyDescent="0.3">
      <c r="A63" s="68"/>
      <c r="B63" s="641"/>
      <c r="C63" s="464"/>
      <c r="D63" s="464"/>
      <c r="E63" s="464"/>
      <c r="F63" s="464"/>
      <c r="G63" s="464"/>
      <c r="H63" s="464"/>
      <c r="I63" s="464"/>
      <c r="J63" s="464"/>
      <c r="K63" s="464"/>
      <c r="L63" s="464"/>
      <c r="M63" s="464"/>
      <c r="N63" s="464"/>
      <c r="O63" s="466"/>
      <c r="P63" s="466"/>
      <c r="Q63" s="469"/>
      <c r="R63" s="469"/>
      <c r="S63" s="470"/>
      <c r="T63" s="89"/>
    </row>
    <row r="64" spans="1:20" ht="15" customHeight="1" x14ac:dyDescent="0.25">
      <c r="A64" s="68"/>
      <c r="B64" s="634">
        <v>190</v>
      </c>
      <c r="C64" s="447"/>
      <c r="D64" s="447"/>
      <c r="E64" s="447"/>
      <c r="F64" s="447"/>
      <c r="G64" s="447"/>
      <c r="H64" s="447"/>
      <c r="I64" s="447"/>
      <c r="J64" s="447"/>
      <c r="K64" s="447"/>
      <c r="L64" s="447"/>
      <c r="M64" s="472" t="s">
        <v>33</v>
      </c>
      <c r="N64" s="472"/>
      <c r="O64" s="472" t="s">
        <v>35</v>
      </c>
      <c r="P64" s="472"/>
      <c r="Q64" s="472" t="s">
        <v>319</v>
      </c>
      <c r="R64" s="472"/>
      <c r="S64" s="636"/>
      <c r="T64" s="90"/>
    </row>
    <row r="65" spans="1:21" ht="15" customHeight="1" x14ac:dyDescent="0.25">
      <c r="A65" s="68"/>
      <c r="B65" s="635"/>
      <c r="C65" s="471"/>
      <c r="D65" s="471"/>
      <c r="E65" s="471"/>
      <c r="F65" s="471"/>
      <c r="G65" s="471"/>
      <c r="H65" s="471"/>
      <c r="I65" s="471"/>
      <c r="J65" s="471"/>
      <c r="K65" s="471"/>
      <c r="L65" s="471"/>
      <c r="M65" s="637"/>
      <c r="N65" s="637"/>
      <c r="O65" s="453"/>
      <c r="P65" s="453"/>
      <c r="Q65" s="638"/>
      <c r="R65" s="638"/>
      <c r="S65" s="639"/>
      <c r="T65" s="90"/>
    </row>
    <row r="66" spans="1:21" ht="15" customHeight="1" x14ac:dyDescent="0.25">
      <c r="A66" s="68"/>
      <c r="B66" s="635"/>
      <c r="C66" s="471"/>
      <c r="D66" s="471"/>
      <c r="E66" s="471"/>
      <c r="F66" s="471"/>
      <c r="G66" s="471"/>
      <c r="H66" s="471"/>
      <c r="I66" s="471"/>
      <c r="J66" s="471"/>
      <c r="K66" s="471"/>
      <c r="L66" s="471"/>
      <c r="M66" s="637"/>
      <c r="N66" s="637"/>
      <c r="O66" s="453"/>
      <c r="P66" s="453"/>
      <c r="Q66" s="638"/>
      <c r="R66" s="638"/>
      <c r="S66" s="639"/>
      <c r="T66" s="87"/>
    </row>
    <row r="67" spans="1:21" ht="15" customHeight="1" x14ac:dyDescent="0.25">
      <c r="A67" s="68"/>
      <c r="B67" s="632" t="s">
        <v>36</v>
      </c>
      <c r="C67" s="463"/>
      <c r="D67" s="463"/>
      <c r="E67" s="463"/>
      <c r="F67" s="463"/>
      <c r="G67" s="463"/>
      <c r="H67" s="463"/>
      <c r="I67" s="463"/>
      <c r="J67" s="463"/>
      <c r="K67" s="463"/>
      <c r="L67" s="463"/>
      <c r="M67" s="463"/>
      <c r="N67" s="463"/>
      <c r="O67" s="473" t="s">
        <v>320</v>
      </c>
      <c r="P67" s="473"/>
      <c r="Q67" s="467">
        <f>O65*Q65</f>
        <v>0</v>
      </c>
      <c r="R67" s="467"/>
      <c r="S67" s="468"/>
      <c r="T67" s="90"/>
    </row>
    <row r="68" spans="1:21" ht="15" customHeight="1" thickBot="1" x14ac:dyDescent="0.3">
      <c r="A68" s="68"/>
      <c r="B68" s="633"/>
      <c r="C68" s="464"/>
      <c r="D68" s="464"/>
      <c r="E68" s="464"/>
      <c r="F68" s="464"/>
      <c r="G68" s="464"/>
      <c r="H68" s="464"/>
      <c r="I68" s="464"/>
      <c r="J68" s="464"/>
      <c r="K68" s="464"/>
      <c r="L68" s="464"/>
      <c r="M68" s="464"/>
      <c r="N68" s="464"/>
      <c r="O68" s="474"/>
      <c r="P68" s="474"/>
      <c r="Q68" s="469"/>
      <c r="R68" s="469"/>
      <c r="S68" s="470"/>
      <c r="T68" s="89"/>
    </row>
    <row r="69" spans="1:21" ht="15" customHeight="1" x14ac:dyDescent="0.25">
      <c r="A69" s="68"/>
      <c r="B69" s="642">
        <v>200</v>
      </c>
      <c r="C69" s="447"/>
      <c r="D69" s="447"/>
      <c r="E69" s="447"/>
      <c r="F69" s="447"/>
      <c r="G69" s="447"/>
      <c r="H69" s="447"/>
      <c r="I69" s="447"/>
      <c r="J69" s="447"/>
      <c r="K69" s="447"/>
      <c r="L69" s="447"/>
      <c r="M69" s="450" t="s">
        <v>33</v>
      </c>
      <c r="N69" s="450"/>
      <c r="O69" s="450" t="s">
        <v>35</v>
      </c>
      <c r="P69" s="450"/>
      <c r="Q69" s="450" t="s">
        <v>319</v>
      </c>
      <c r="R69" s="450"/>
      <c r="S69" s="451"/>
      <c r="T69" s="86"/>
    </row>
    <row r="70" spans="1:21" ht="15" customHeight="1" x14ac:dyDescent="0.25">
      <c r="A70" s="68"/>
      <c r="B70" s="643"/>
      <c r="C70" s="471"/>
      <c r="D70" s="471"/>
      <c r="E70" s="471"/>
      <c r="F70" s="471"/>
      <c r="G70" s="471"/>
      <c r="H70" s="471"/>
      <c r="I70" s="471"/>
      <c r="J70" s="471"/>
      <c r="K70" s="471"/>
      <c r="L70" s="471"/>
      <c r="M70" s="637"/>
      <c r="N70" s="637"/>
      <c r="O70" s="453"/>
      <c r="P70" s="453"/>
      <c r="Q70" s="638"/>
      <c r="R70" s="638"/>
      <c r="S70" s="639"/>
      <c r="T70" s="86"/>
    </row>
    <row r="71" spans="1:21" ht="15" customHeight="1" x14ac:dyDescent="0.25">
      <c r="A71" s="68"/>
      <c r="B71" s="643"/>
      <c r="C71" s="471"/>
      <c r="D71" s="471"/>
      <c r="E71" s="471"/>
      <c r="F71" s="471"/>
      <c r="G71" s="471"/>
      <c r="H71" s="471"/>
      <c r="I71" s="471"/>
      <c r="J71" s="471"/>
      <c r="K71" s="471"/>
      <c r="L71" s="471"/>
      <c r="M71" s="637"/>
      <c r="N71" s="637"/>
      <c r="O71" s="453"/>
      <c r="P71" s="453"/>
      <c r="Q71" s="638"/>
      <c r="R71" s="638"/>
      <c r="S71" s="639"/>
      <c r="T71" s="87"/>
    </row>
    <row r="72" spans="1:21" ht="15" customHeight="1" x14ac:dyDescent="0.25">
      <c r="A72" s="68"/>
      <c r="B72" s="640" t="s">
        <v>36</v>
      </c>
      <c r="C72" s="463"/>
      <c r="D72" s="463"/>
      <c r="E72" s="463"/>
      <c r="F72" s="463"/>
      <c r="G72" s="463"/>
      <c r="H72" s="463"/>
      <c r="I72" s="463"/>
      <c r="J72" s="463"/>
      <c r="K72" s="463"/>
      <c r="L72" s="463"/>
      <c r="M72" s="463"/>
      <c r="N72" s="463"/>
      <c r="O72" s="465" t="s">
        <v>320</v>
      </c>
      <c r="P72" s="465"/>
      <c r="Q72" s="467">
        <f>O70*Q70</f>
        <v>0</v>
      </c>
      <c r="R72" s="467"/>
      <c r="S72" s="468"/>
      <c r="T72" s="86"/>
    </row>
    <row r="73" spans="1:21" ht="15" customHeight="1" thickBot="1" x14ac:dyDescent="0.3">
      <c r="A73" s="68"/>
      <c r="B73" s="641"/>
      <c r="C73" s="464"/>
      <c r="D73" s="464"/>
      <c r="E73" s="464"/>
      <c r="F73" s="464"/>
      <c r="G73" s="464"/>
      <c r="H73" s="464"/>
      <c r="I73" s="464"/>
      <c r="J73" s="464"/>
      <c r="K73" s="464"/>
      <c r="L73" s="464"/>
      <c r="M73" s="464"/>
      <c r="N73" s="464"/>
      <c r="O73" s="466"/>
      <c r="P73" s="466"/>
      <c r="Q73" s="469"/>
      <c r="R73" s="469"/>
      <c r="S73" s="470"/>
      <c r="T73" s="89"/>
    </row>
    <row r="74" spans="1:21" ht="15" customHeight="1" x14ac:dyDescent="0.25">
      <c r="A74" s="68"/>
      <c r="B74" s="634">
        <v>210</v>
      </c>
      <c r="C74" s="447"/>
      <c r="D74" s="447"/>
      <c r="E74" s="447"/>
      <c r="F74" s="447"/>
      <c r="G74" s="447"/>
      <c r="H74" s="447"/>
      <c r="I74" s="447"/>
      <c r="J74" s="447"/>
      <c r="K74" s="447"/>
      <c r="L74" s="447"/>
      <c r="M74" s="472" t="s">
        <v>33</v>
      </c>
      <c r="N74" s="472"/>
      <c r="O74" s="472" t="s">
        <v>35</v>
      </c>
      <c r="P74" s="472"/>
      <c r="Q74" s="472" t="s">
        <v>319</v>
      </c>
      <c r="R74" s="472"/>
      <c r="S74" s="636"/>
      <c r="T74" s="90"/>
    </row>
    <row r="75" spans="1:21" ht="15" customHeight="1" x14ac:dyDescent="0.25">
      <c r="A75" s="68"/>
      <c r="B75" s="635"/>
      <c r="C75" s="471"/>
      <c r="D75" s="471"/>
      <c r="E75" s="471"/>
      <c r="F75" s="471"/>
      <c r="G75" s="471"/>
      <c r="H75" s="471"/>
      <c r="I75" s="471"/>
      <c r="J75" s="471"/>
      <c r="K75" s="471"/>
      <c r="L75" s="471"/>
      <c r="M75" s="637"/>
      <c r="N75" s="637"/>
      <c r="O75" s="453"/>
      <c r="P75" s="453"/>
      <c r="Q75" s="638"/>
      <c r="R75" s="638"/>
      <c r="S75" s="639"/>
      <c r="T75" s="90"/>
    </row>
    <row r="76" spans="1:21" ht="15" customHeight="1" x14ac:dyDescent="0.25">
      <c r="A76" s="68"/>
      <c r="B76" s="635"/>
      <c r="C76" s="471"/>
      <c r="D76" s="471"/>
      <c r="E76" s="471"/>
      <c r="F76" s="471"/>
      <c r="G76" s="471"/>
      <c r="H76" s="471"/>
      <c r="I76" s="471"/>
      <c r="J76" s="471"/>
      <c r="K76" s="471"/>
      <c r="L76" s="471"/>
      <c r="M76" s="637"/>
      <c r="N76" s="637"/>
      <c r="O76" s="453"/>
      <c r="P76" s="453"/>
      <c r="Q76" s="638"/>
      <c r="R76" s="638"/>
      <c r="S76" s="639"/>
      <c r="T76" s="87"/>
      <c r="U76" s="92"/>
    </row>
    <row r="77" spans="1:21" ht="15" customHeight="1" x14ac:dyDescent="0.25">
      <c r="A77" s="68"/>
      <c r="B77" s="632" t="s">
        <v>36</v>
      </c>
      <c r="C77" s="463"/>
      <c r="D77" s="463"/>
      <c r="E77" s="463"/>
      <c r="F77" s="463"/>
      <c r="G77" s="463"/>
      <c r="H77" s="463"/>
      <c r="I77" s="463"/>
      <c r="J77" s="463"/>
      <c r="K77" s="463"/>
      <c r="L77" s="463"/>
      <c r="M77" s="463"/>
      <c r="N77" s="463"/>
      <c r="O77" s="473" t="s">
        <v>320</v>
      </c>
      <c r="P77" s="473"/>
      <c r="Q77" s="467">
        <f>O75*Q75</f>
        <v>0</v>
      </c>
      <c r="R77" s="467"/>
      <c r="S77" s="468"/>
      <c r="T77" s="90"/>
    </row>
    <row r="78" spans="1:21" ht="15" customHeight="1" thickBot="1" x14ac:dyDescent="0.3">
      <c r="A78" s="68"/>
      <c r="B78" s="633"/>
      <c r="C78" s="464"/>
      <c r="D78" s="464"/>
      <c r="E78" s="464"/>
      <c r="F78" s="464"/>
      <c r="G78" s="464"/>
      <c r="H78" s="464"/>
      <c r="I78" s="464"/>
      <c r="J78" s="464"/>
      <c r="K78" s="464"/>
      <c r="L78" s="464"/>
      <c r="M78" s="464"/>
      <c r="N78" s="464"/>
      <c r="O78" s="474"/>
      <c r="P78" s="474"/>
      <c r="Q78" s="469"/>
      <c r="R78" s="469"/>
      <c r="S78" s="470"/>
      <c r="T78" s="89"/>
    </row>
    <row r="79" spans="1:21" ht="27" customHeight="1" thickBot="1" x14ac:dyDescent="0.3">
      <c r="A79" s="68"/>
      <c r="B79" s="477"/>
      <c r="C79" s="477"/>
      <c r="D79" s="477"/>
      <c r="E79" s="477"/>
      <c r="F79" s="477"/>
      <c r="G79" s="477"/>
      <c r="H79" s="477"/>
      <c r="I79" s="477"/>
      <c r="J79" s="478" t="str">
        <f>IF($O$10&lt;&gt;0,"Sous-Total 2 - Voir Page suivante","Montant Total de la Commande HT:")</f>
        <v>Montant Total de la Commande HT:</v>
      </c>
      <c r="K79" s="479"/>
      <c r="L79" s="479"/>
      <c r="M79" s="479"/>
      <c r="N79" s="479"/>
      <c r="O79" s="480">
        <f>SUM(O21,Q27,Q32,Q37,Q42,Q47,Q52,Q57,Q62,Q67,Q72,Q77)</f>
        <v>0</v>
      </c>
      <c r="P79" s="480"/>
      <c r="Q79" s="480"/>
      <c r="R79" s="480"/>
      <c r="S79" s="481"/>
      <c r="T79" s="93"/>
    </row>
    <row r="80" spans="1:21" ht="12" customHeight="1" thickBot="1" x14ac:dyDescent="0.3">
      <c r="A80" s="68"/>
      <c r="B80" s="631"/>
      <c r="C80" s="631"/>
      <c r="D80" s="631"/>
      <c r="E80" s="631"/>
      <c r="F80" s="631"/>
      <c r="G80" s="631"/>
      <c r="H80" s="631"/>
      <c r="I80" s="631"/>
      <c r="J80" s="631"/>
      <c r="K80" s="631"/>
      <c r="L80" s="631"/>
      <c r="M80" s="631"/>
      <c r="N80" s="631"/>
      <c r="O80" s="631"/>
      <c r="P80" s="631"/>
      <c r="Q80" s="631"/>
      <c r="R80" s="631"/>
      <c r="S80" s="631"/>
      <c r="T80" s="93"/>
    </row>
    <row r="81" spans="1:25" ht="12" customHeight="1" x14ac:dyDescent="0.25">
      <c r="A81" s="68"/>
      <c r="B81" s="72"/>
      <c r="C81" s="73"/>
      <c r="D81" s="671" t="s">
        <v>28</v>
      </c>
      <c r="E81" s="671"/>
      <c r="F81" s="671"/>
      <c r="G81" s="671"/>
      <c r="H81" s="671"/>
      <c r="I81" s="671"/>
      <c r="J81" s="672" t="str">
        <f>IF(Q90&lt;&gt;0,IF(J18&lt;&gt;0,J18,""),"")</f>
        <v/>
      </c>
      <c r="K81" s="672"/>
      <c r="L81" s="672"/>
      <c r="M81" s="672"/>
      <c r="N81" s="674" t="str">
        <f>IF(Q90&lt;&gt;0,IF(N18&lt;&gt;0,N18,""),"")</f>
        <v/>
      </c>
      <c r="O81" s="675"/>
      <c r="P81" s="678" t="str">
        <f>IF(Q90&lt;&gt;0,"Page 03 / 03","Page ..…/.....")</f>
        <v>Page ..…/.....</v>
      </c>
      <c r="Q81" s="678"/>
      <c r="R81" s="678"/>
      <c r="S81" s="679"/>
      <c r="T81" s="74"/>
      <c r="U81" s="88"/>
      <c r="V81" s="668" t="str">
        <f>IF(Q90&lt;&gt;0,"Vous débutez la Page 3.","Les rappels de la page précédente apparaîtront lorsque vous aurez saisie le poste 220 (Qté+Montant Unitaire HT")</f>
        <v>Les rappels de la page précédente apparaîtront lorsque vous aurez saisie le poste 220 (Qté+Montant Unitaire HT</v>
      </c>
      <c r="W81" s="669"/>
      <c r="X81" s="669"/>
      <c r="Y81" s="669"/>
    </row>
    <row r="82" spans="1:25" ht="18" customHeight="1" thickBot="1" x14ac:dyDescent="0.3">
      <c r="A82" s="68"/>
      <c r="B82" s="75"/>
      <c r="C82" s="107"/>
      <c r="D82" s="425"/>
      <c r="E82" s="425"/>
      <c r="F82" s="425"/>
      <c r="G82" s="425"/>
      <c r="H82" s="425"/>
      <c r="I82" s="425"/>
      <c r="J82" s="673"/>
      <c r="K82" s="673"/>
      <c r="L82" s="673"/>
      <c r="M82" s="673"/>
      <c r="N82" s="676"/>
      <c r="O82" s="677"/>
      <c r="P82" s="680"/>
      <c r="Q82" s="680"/>
      <c r="R82" s="680"/>
      <c r="S82" s="681"/>
      <c r="T82" s="74"/>
      <c r="V82" s="668"/>
      <c r="W82" s="669"/>
      <c r="X82" s="669"/>
      <c r="Y82" s="669"/>
    </row>
    <row r="83" spans="1:25" ht="15" customHeight="1" thickBot="1" x14ac:dyDescent="0.3">
      <c r="A83" s="68"/>
      <c r="B83" s="418" t="s">
        <v>29</v>
      </c>
      <c r="C83" s="419"/>
      <c r="D83" s="419"/>
      <c r="E83" s="419"/>
      <c r="F83" s="419"/>
      <c r="G83" s="420"/>
      <c r="H83" s="418" t="s">
        <v>30</v>
      </c>
      <c r="I83" s="419"/>
      <c r="J83" s="419"/>
      <c r="K83" s="419"/>
      <c r="L83" s="419"/>
      <c r="M83" s="419"/>
      <c r="N83" s="420"/>
      <c r="O83" s="656" t="str">
        <f>IF(Q90&lt;&gt;0,"Rappel Sous-Total Page 2","Total HT")</f>
        <v>Total HT</v>
      </c>
      <c r="P83" s="657"/>
      <c r="Q83" s="657"/>
      <c r="R83" s="657"/>
      <c r="S83" s="658"/>
      <c r="T83" s="77"/>
      <c r="V83" s="668"/>
      <c r="W83" s="669"/>
      <c r="X83" s="669"/>
      <c r="Y83" s="669"/>
    </row>
    <row r="84" spans="1:25" s="76" customFormat="1" ht="13.15" customHeight="1" x14ac:dyDescent="0.25">
      <c r="A84" s="78"/>
      <c r="B84" s="659" t="s">
        <v>326</v>
      </c>
      <c r="C84" s="660"/>
      <c r="D84" s="660"/>
      <c r="E84" s="660"/>
      <c r="F84" s="660"/>
      <c r="G84" s="661"/>
      <c r="H84" s="614" t="str">
        <f>IF(Q90&lt;&gt;0,IF(H21&lt;&gt;0,H21,""),"")</f>
        <v/>
      </c>
      <c r="I84" s="615"/>
      <c r="J84" s="615"/>
      <c r="K84" s="615"/>
      <c r="L84" s="615"/>
      <c r="M84" s="615"/>
      <c r="N84" s="616"/>
      <c r="O84" s="662" t="str">
        <f>IF(Q90&lt;&gt;0,O79,"")</f>
        <v/>
      </c>
      <c r="P84" s="663"/>
      <c r="Q84" s="663"/>
      <c r="R84" s="663"/>
      <c r="S84" s="664"/>
      <c r="T84" s="79"/>
      <c r="V84" s="668"/>
      <c r="W84" s="669"/>
      <c r="X84" s="669"/>
      <c r="Y84" s="669"/>
    </row>
    <row r="85" spans="1:25" s="76" customFormat="1" ht="13.15" customHeight="1" x14ac:dyDescent="0.25">
      <c r="A85" s="78"/>
      <c r="B85" s="599" t="str">
        <f>IF(Q90&lt;&gt;0,IF(B22&lt;&gt;0,B22,""),"")</f>
        <v/>
      </c>
      <c r="C85" s="600"/>
      <c r="D85" s="600"/>
      <c r="E85" s="600"/>
      <c r="F85" s="600"/>
      <c r="G85" s="601"/>
      <c r="H85" s="617"/>
      <c r="I85" s="618"/>
      <c r="J85" s="618"/>
      <c r="K85" s="618"/>
      <c r="L85" s="618"/>
      <c r="M85" s="618"/>
      <c r="N85" s="619"/>
      <c r="O85" s="665"/>
      <c r="P85" s="666"/>
      <c r="Q85" s="666"/>
      <c r="R85" s="666"/>
      <c r="S85" s="667"/>
      <c r="T85" s="82"/>
    </row>
    <row r="86" spans="1:25" s="76" customFormat="1" ht="13.15" customHeight="1" thickBot="1" x14ac:dyDescent="0.3">
      <c r="A86" s="78"/>
      <c r="B86" s="602"/>
      <c r="C86" s="603"/>
      <c r="D86" s="603"/>
      <c r="E86" s="603"/>
      <c r="F86" s="603"/>
      <c r="G86" s="604"/>
      <c r="H86" s="620"/>
      <c r="I86" s="621"/>
      <c r="J86" s="621"/>
      <c r="K86" s="621"/>
      <c r="L86" s="621"/>
      <c r="M86" s="621"/>
      <c r="N86" s="622"/>
      <c r="O86" s="653" t="s">
        <v>161</v>
      </c>
      <c r="P86" s="654"/>
      <c r="Q86" s="654"/>
      <c r="R86" s="654"/>
      <c r="S86" s="655"/>
      <c r="T86" s="82"/>
    </row>
    <row r="87" spans="1:25" ht="15" customHeight="1" x14ac:dyDescent="0.25">
      <c r="A87" s="68"/>
      <c r="B87" s="644">
        <v>220</v>
      </c>
      <c r="C87" s="447"/>
      <c r="D87" s="447"/>
      <c r="E87" s="447"/>
      <c r="F87" s="447"/>
      <c r="G87" s="447"/>
      <c r="H87" s="447"/>
      <c r="I87" s="447"/>
      <c r="J87" s="447"/>
      <c r="K87" s="447"/>
      <c r="L87" s="447"/>
      <c r="M87" s="472" t="s">
        <v>33</v>
      </c>
      <c r="N87" s="472"/>
      <c r="O87" s="472" t="s">
        <v>35</v>
      </c>
      <c r="P87" s="472"/>
      <c r="Q87" s="472" t="s">
        <v>319</v>
      </c>
      <c r="R87" s="472"/>
      <c r="S87" s="636"/>
      <c r="T87" s="90"/>
    </row>
    <row r="88" spans="1:25" ht="15" customHeight="1" x14ac:dyDescent="0.25">
      <c r="A88" s="68"/>
      <c r="B88" s="645"/>
      <c r="C88" s="471"/>
      <c r="D88" s="471"/>
      <c r="E88" s="471"/>
      <c r="F88" s="471"/>
      <c r="G88" s="471"/>
      <c r="H88" s="471"/>
      <c r="I88" s="471"/>
      <c r="J88" s="471"/>
      <c r="K88" s="471"/>
      <c r="L88" s="471"/>
      <c r="M88" s="637"/>
      <c r="N88" s="637"/>
      <c r="O88" s="453"/>
      <c r="P88" s="453"/>
      <c r="Q88" s="638"/>
      <c r="R88" s="638"/>
      <c r="S88" s="639"/>
      <c r="T88" s="90"/>
    </row>
    <row r="89" spans="1:25" ht="15" customHeight="1" x14ac:dyDescent="0.25">
      <c r="A89" s="68"/>
      <c r="B89" s="646"/>
      <c r="C89" s="471"/>
      <c r="D89" s="471"/>
      <c r="E89" s="471"/>
      <c r="F89" s="471"/>
      <c r="G89" s="471"/>
      <c r="H89" s="471"/>
      <c r="I89" s="471"/>
      <c r="J89" s="471"/>
      <c r="K89" s="471"/>
      <c r="L89" s="471"/>
      <c r="M89" s="637"/>
      <c r="N89" s="637"/>
      <c r="O89" s="453"/>
      <c r="P89" s="453"/>
      <c r="Q89" s="638"/>
      <c r="R89" s="638"/>
      <c r="S89" s="639"/>
      <c r="T89" s="87"/>
    </row>
    <row r="90" spans="1:25" ht="15" customHeight="1" x14ac:dyDescent="0.25">
      <c r="A90" s="68"/>
      <c r="B90" s="632" t="s">
        <v>36</v>
      </c>
      <c r="C90" s="463"/>
      <c r="D90" s="463"/>
      <c r="E90" s="463"/>
      <c r="F90" s="463"/>
      <c r="G90" s="463"/>
      <c r="H90" s="463"/>
      <c r="I90" s="463"/>
      <c r="J90" s="463"/>
      <c r="K90" s="463"/>
      <c r="L90" s="463"/>
      <c r="M90" s="463"/>
      <c r="N90" s="463"/>
      <c r="O90" s="473" t="s">
        <v>320</v>
      </c>
      <c r="P90" s="473"/>
      <c r="Q90" s="467">
        <f>O88*Q88</f>
        <v>0</v>
      </c>
      <c r="R90" s="467"/>
      <c r="S90" s="468"/>
      <c r="T90" s="90"/>
    </row>
    <row r="91" spans="1:25" ht="15" customHeight="1" thickBot="1" x14ac:dyDescent="0.3">
      <c r="A91" s="68"/>
      <c r="B91" s="633"/>
      <c r="C91" s="464"/>
      <c r="D91" s="464"/>
      <c r="E91" s="464"/>
      <c r="F91" s="464"/>
      <c r="G91" s="464"/>
      <c r="H91" s="464"/>
      <c r="I91" s="464"/>
      <c r="J91" s="464"/>
      <c r="K91" s="464"/>
      <c r="L91" s="464"/>
      <c r="M91" s="464"/>
      <c r="N91" s="464"/>
      <c r="O91" s="474"/>
      <c r="P91" s="474"/>
      <c r="Q91" s="469"/>
      <c r="R91" s="469"/>
      <c r="S91" s="470"/>
      <c r="T91" s="89"/>
    </row>
    <row r="92" spans="1:25" ht="15" customHeight="1" x14ac:dyDescent="0.25">
      <c r="A92" s="68"/>
      <c r="B92" s="647">
        <v>230</v>
      </c>
      <c r="C92" s="447"/>
      <c r="D92" s="650"/>
      <c r="E92" s="650"/>
      <c r="F92" s="650"/>
      <c r="G92" s="650"/>
      <c r="H92" s="650"/>
      <c r="I92" s="650"/>
      <c r="J92" s="650"/>
      <c r="K92" s="650"/>
      <c r="L92" s="650"/>
      <c r="M92" s="450" t="s">
        <v>33</v>
      </c>
      <c r="N92" s="450"/>
      <c r="O92" s="450" t="s">
        <v>35</v>
      </c>
      <c r="P92" s="450"/>
      <c r="Q92" s="450" t="s">
        <v>319</v>
      </c>
      <c r="R92" s="450"/>
      <c r="S92" s="451"/>
      <c r="T92" s="86"/>
    </row>
    <row r="93" spans="1:25" ht="15" customHeight="1" x14ac:dyDescent="0.25">
      <c r="A93" s="68"/>
      <c r="B93" s="648"/>
      <c r="C93" s="651"/>
      <c r="D93" s="651"/>
      <c r="E93" s="651"/>
      <c r="F93" s="651"/>
      <c r="G93" s="651"/>
      <c r="H93" s="651"/>
      <c r="I93" s="651"/>
      <c r="J93" s="651"/>
      <c r="K93" s="651"/>
      <c r="L93" s="651"/>
      <c r="M93" s="637"/>
      <c r="N93" s="652"/>
      <c r="O93" s="453"/>
      <c r="P93" s="453"/>
      <c r="Q93" s="638"/>
      <c r="R93" s="638"/>
      <c r="S93" s="639"/>
      <c r="T93" s="86"/>
    </row>
    <row r="94" spans="1:25" ht="15" customHeight="1" x14ac:dyDescent="0.25">
      <c r="A94" s="68"/>
      <c r="B94" s="649"/>
      <c r="C94" s="651"/>
      <c r="D94" s="651"/>
      <c r="E94" s="651"/>
      <c r="F94" s="651"/>
      <c r="G94" s="651"/>
      <c r="H94" s="651"/>
      <c r="I94" s="651"/>
      <c r="J94" s="651"/>
      <c r="K94" s="651"/>
      <c r="L94" s="651"/>
      <c r="M94" s="652"/>
      <c r="N94" s="652"/>
      <c r="O94" s="453"/>
      <c r="P94" s="453"/>
      <c r="Q94" s="638"/>
      <c r="R94" s="638"/>
      <c r="S94" s="639"/>
      <c r="T94" s="87"/>
    </row>
    <row r="95" spans="1:25" ht="15" customHeight="1" x14ac:dyDescent="0.25">
      <c r="A95" s="68"/>
      <c r="B95" s="640" t="s">
        <v>36</v>
      </c>
      <c r="C95" s="463"/>
      <c r="D95" s="463"/>
      <c r="E95" s="463"/>
      <c r="F95" s="463"/>
      <c r="G95" s="463"/>
      <c r="H95" s="463"/>
      <c r="I95" s="463"/>
      <c r="J95" s="463"/>
      <c r="K95" s="463"/>
      <c r="L95" s="463"/>
      <c r="M95" s="463"/>
      <c r="N95" s="463"/>
      <c r="O95" s="465" t="s">
        <v>320</v>
      </c>
      <c r="P95" s="465"/>
      <c r="Q95" s="467">
        <f>O93*Q93</f>
        <v>0</v>
      </c>
      <c r="R95" s="467"/>
      <c r="S95" s="468"/>
      <c r="T95" s="86"/>
    </row>
    <row r="96" spans="1:25" ht="15" customHeight="1" thickBot="1" x14ac:dyDescent="0.3">
      <c r="A96" s="68"/>
      <c r="B96" s="641"/>
      <c r="C96" s="464"/>
      <c r="D96" s="464"/>
      <c r="E96" s="464"/>
      <c r="F96" s="464"/>
      <c r="G96" s="464"/>
      <c r="H96" s="464"/>
      <c r="I96" s="464"/>
      <c r="J96" s="464"/>
      <c r="K96" s="464"/>
      <c r="L96" s="464"/>
      <c r="M96" s="464"/>
      <c r="N96" s="464"/>
      <c r="O96" s="466"/>
      <c r="P96" s="466"/>
      <c r="Q96" s="469"/>
      <c r="R96" s="469"/>
      <c r="S96" s="470"/>
      <c r="T96" s="89"/>
    </row>
    <row r="97" spans="1:20" ht="15" customHeight="1" x14ac:dyDescent="0.25">
      <c r="A97" s="68"/>
      <c r="B97" s="644">
        <v>240</v>
      </c>
      <c r="C97" s="447"/>
      <c r="D97" s="447"/>
      <c r="E97" s="447"/>
      <c r="F97" s="447"/>
      <c r="G97" s="447"/>
      <c r="H97" s="447"/>
      <c r="I97" s="447"/>
      <c r="J97" s="447"/>
      <c r="K97" s="447"/>
      <c r="L97" s="447"/>
      <c r="M97" s="472" t="s">
        <v>33</v>
      </c>
      <c r="N97" s="472"/>
      <c r="O97" s="472" t="s">
        <v>35</v>
      </c>
      <c r="P97" s="472"/>
      <c r="Q97" s="472" t="s">
        <v>319</v>
      </c>
      <c r="R97" s="472"/>
      <c r="S97" s="636"/>
      <c r="T97" s="90"/>
    </row>
    <row r="98" spans="1:20" ht="15" customHeight="1" x14ac:dyDescent="0.25">
      <c r="A98" s="68"/>
      <c r="B98" s="645"/>
      <c r="C98" s="471"/>
      <c r="D98" s="471"/>
      <c r="E98" s="471"/>
      <c r="F98" s="471"/>
      <c r="G98" s="471"/>
      <c r="H98" s="471"/>
      <c r="I98" s="471"/>
      <c r="J98" s="471"/>
      <c r="K98" s="471"/>
      <c r="L98" s="471"/>
      <c r="M98" s="637"/>
      <c r="N98" s="637"/>
      <c r="O98" s="453"/>
      <c r="P98" s="453"/>
      <c r="Q98" s="638"/>
      <c r="R98" s="638"/>
      <c r="S98" s="639"/>
      <c r="T98" s="90"/>
    </row>
    <row r="99" spans="1:20" ht="15" customHeight="1" x14ac:dyDescent="0.25">
      <c r="A99" s="68"/>
      <c r="B99" s="646"/>
      <c r="C99" s="471"/>
      <c r="D99" s="471"/>
      <c r="E99" s="471"/>
      <c r="F99" s="471"/>
      <c r="G99" s="471"/>
      <c r="H99" s="471"/>
      <c r="I99" s="471"/>
      <c r="J99" s="471"/>
      <c r="K99" s="471"/>
      <c r="L99" s="471"/>
      <c r="M99" s="637"/>
      <c r="N99" s="637"/>
      <c r="O99" s="453"/>
      <c r="P99" s="453"/>
      <c r="Q99" s="638"/>
      <c r="R99" s="638"/>
      <c r="S99" s="639"/>
      <c r="T99" s="87"/>
    </row>
    <row r="100" spans="1:20" ht="15" customHeight="1" x14ac:dyDescent="0.25">
      <c r="A100" s="68"/>
      <c r="B100" s="632" t="s">
        <v>36</v>
      </c>
      <c r="C100" s="463"/>
      <c r="D100" s="463"/>
      <c r="E100" s="463"/>
      <c r="F100" s="463"/>
      <c r="G100" s="463"/>
      <c r="H100" s="463"/>
      <c r="I100" s="463"/>
      <c r="J100" s="463"/>
      <c r="K100" s="463"/>
      <c r="L100" s="463"/>
      <c r="M100" s="463"/>
      <c r="N100" s="463"/>
      <c r="O100" s="473" t="s">
        <v>320</v>
      </c>
      <c r="P100" s="473"/>
      <c r="Q100" s="467">
        <f>O98*Q98</f>
        <v>0</v>
      </c>
      <c r="R100" s="467"/>
      <c r="S100" s="468"/>
      <c r="T100" s="90"/>
    </row>
    <row r="101" spans="1:20" ht="15" customHeight="1" thickBot="1" x14ac:dyDescent="0.3">
      <c r="A101" s="68"/>
      <c r="B101" s="633"/>
      <c r="C101" s="464"/>
      <c r="D101" s="464"/>
      <c r="E101" s="464"/>
      <c r="F101" s="464"/>
      <c r="G101" s="464"/>
      <c r="H101" s="464"/>
      <c r="I101" s="464"/>
      <c r="J101" s="464"/>
      <c r="K101" s="464"/>
      <c r="L101" s="464"/>
      <c r="M101" s="464"/>
      <c r="N101" s="464"/>
      <c r="O101" s="474"/>
      <c r="P101" s="474"/>
      <c r="Q101" s="469"/>
      <c r="R101" s="469"/>
      <c r="S101" s="470"/>
      <c r="T101" s="89"/>
    </row>
    <row r="102" spans="1:20" ht="15" customHeight="1" x14ac:dyDescent="0.25">
      <c r="A102" s="68"/>
      <c r="B102" s="642">
        <v>250</v>
      </c>
      <c r="C102" s="447"/>
      <c r="D102" s="447"/>
      <c r="E102" s="447"/>
      <c r="F102" s="447"/>
      <c r="G102" s="447"/>
      <c r="H102" s="447"/>
      <c r="I102" s="447"/>
      <c r="J102" s="447"/>
      <c r="K102" s="447"/>
      <c r="L102" s="447"/>
      <c r="M102" s="450" t="s">
        <v>33</v>
      </c>
      <c r="N102" s="450"/>
      <c r="O102" s="450" t="s">
        <v>35</v>
      </c>
      <c r="P102" s="450"/>
      <c r="Q102" s="450" t="s">
        <v>319</v>
      </c>
      <c r="R102" s="450"/>
      <c r="S102" s="451"/>
      <c r="T102" s="86"/>
    </row>
    <row r="103" spans="1:20" ht="15" customHeight="1" x14ac:dyDescent="0.25">
      <c r="A103" s="68"/>
      <c r="B103" s="643"/>
      <c r="C103" s="471"/>
      <c r="D103" s="471"/>
      <c r="E103" s="471"/>
      <c r="F103" s="471"/>
      <c r="G103" s="471"/>
      <c r="H103" s="471"/>
      <c r="I103" s="471"/>
      <c r="J103" s="471"/>
      <c r="K103" s="471"/>
      <c r="L103" s="471"/>
      <c r="M103" s="637"/>
      <c r="N103" s="637"/>
      <c r="O103" s="453"/>
      <c r="P103" s="453"/>
      <c r="Q103" s="638"/>
      <c r="R103" s="638"/>
      <c r="S103" s="639"/>
      <c r="T103" s="86"/>
    </row>
    <row r="104" spans="1:20" ht="15" customHeight="1" x14ac:dyDescent="0.25">
      <c r="A104" s="68"/>
      <c r="B104" s="643"/>
      <c r="C104" s="471"/>
      <c r="D104" s="471"/>
      <c r="E104" s="471"/>
      <c r="F104" s="471"/>
      <c r="G104" s="471"/>
      <c r="H104" s="471"/>
      <c r="I104" s="471"/>
      <c r="J104" s="471"/>
      <c r="K104" s="471"/>
      <c r="L104" s="471"/>
      <c r="M104" s="637"/>
      <c r="N104" s="637"/>
      <c r="O104" s="453"/>
      <c r="P104" s="453"/>
      <c r="Q104" s="638"/>
      <c r="R104" s="638"/>
      <c r="S104" s="639"/>
      <c r="T104" s="87"/>
    </row>
    <row r="105" spans="1:20" ht="15" customHeight="1" x14ac:dyDescent="0.25">
      <c r="A105" s="68"/>
      <c r="B105" s="640" t="s">
        <v>36</v>
      </c>
      <c r="C105" s="463"/>
      <c r="D105" s="463"/>
      <c r="E105" s="463"/>
      <c r="F105" s="463"/>
      <c r="G105" s="463"/>
      <c r="H105" s="463"/>
      <c r="I105" s="463"/>
      <c r="J105" s="463"/>
      <c r="K105" s="463"/>
      <c r="L105" s="463"/>
      <c r="M105" s="463"/>
      <c r="N105" s="463"/>
      <c r="O105" s="465" t="s">
        <v>320</v>
      </c>
      <c r="P105" s="465"/>
      <c r="Q105" s="467">
        <f>O103*Q103</f>
        <v>0</v>
      </c>
      <c r="R105" s="467"/>
      <c r="S105" s="468"/>
      <c r="T105" s="86"/>
    </row>
    <row r="106" spans="1:20" ht="15" customHeight="1" thickBot="1" x14ac:dyDescent="0.3">
      <c r="A106" s="68"/>
      <c r="B106" s="641"/>
      <c r="C106" s="464"/>
      <c r="D106" s="464"/>
      <c r="E106" s="464"/>
      <c r="F106" s="464"/>
      <c r="G106" s="464"/>
      <c r="H106" s="464"/>
      <c r="I106" s="464"/>
      <c r="J106" s="464"/>
      <c r="K106" s="464"/>
      <c r="L106" s="464"/>
      <c r="M106" s="464"/>
      <c r="N106" s="464"/>
      <c r="O106" s="466"/>
      <c r="P106" s="466"/>
      <c r="Q106" s="469"/>
      <c r="R106" s="469"/>
      <c r="S106" s="470"/>
      <c r="T106" s="89"/>
    </row>
    <row r="107" spans="1:20" ht="15" customHeight="1" x14ac:dyDescent="0.25">
      <c r="A107" s="68"/>
      <c r="B107" s="634">
        <v>260</v>
      </c>
      <c r="C107" s="447"/>
      <c r="D107" s="447"/>
      <c r="E107" s="447"/>
      <c r="F107" s="447"/>
      <c r="G107" s="447"/>
      <c r="H107" s="447"/>
      <c r="I107" s="447"/>
      <c r="J107" s="447"/>
      <c r="K107" s="447"/>
      <c r="L107" s="447"/>
      <c r="M107" s="472" t="s">
        <v>33</v>
      </c>
      <c r="N107" s="472"/>
      <c r="O107" s="472" t="s">
        <v>35</v>
      </c>
      <c r="P107" s="472"/>
      <c r="Q107" s="472" t="s">
        <v>319</v>
      </c>
      <c r="R107" s="472"/>
      <c r="S107" s="636"/>
      <c r="T107" s="90"/>
    </row>
    <row r="108" spans="1:20" ht="15" customHeight="1" x14ac:dyDescent="0.25">
      <c r="A108" s="68"/>
      <c r="B108" s="635"/>
      <c r="C108" s="471"/>
      <c r="D108" s="471"/>
      <c r="E108" s="471"/>
      <c r="F108" s="471"/>
      <c r="G108" s="471"/>
      <c r="H108" s="471"/>
      <c r="I108" s="471"/>
      <c r="J108" s="471"/>
      <c r="K108" s="471"/>
      <c r="L108" s="471"/>
      <c r="M108" s="637"/>
      <c r="N108" s="637"/>
      <c r="O108" s="453"/>
      <c r="P108" s="453"/>
      <c r="Q108" s="638"/>
      <c r="R108" s="638"/>
      <c r="S108" s="639"/>
      <c r="T108" s="90"/>
    </row>
    <row r="109" spans="1:20" ht="15" customHeight="1" x14ac:dyDescent="0.25">
      <c r="A109" s="68"/>
      <c r="B109" s="635"/>
      <c r="C109" s="471"/>
      <c r="D109" s="471"/>
      <c r="E109" s="471"/>
      <c r="F109" s="471"/>
      <c r="G109" s="471"/>
      <c r="H109" s="471"/>
      <c r="I109" s="471"/>
      <c r="J109" s="471"/>
      <c r="K109" s="471"/>
      <c r="L109" s="471"/>
      <c r="M109" s="637"/>
      <c r="N109" s="637"/>
      <c r="O109" s="453"/>
      <c r="P109" s="453"/>
      <c r="Q109" s="638"/>
      <c r="R109" s="638"/>
      <c r="S109" s="639"/>
      <c r="T109" s="87"/>
    </row>
    <row r="110" spans="1:20" ht="15" customHeight="1" x14ac:dyDescent="0.25">
      <c r="A110" s="68"/>
      <c r="B110" s="632" t="s">
        <v>36</v>
      </c>
      <c r="C110" s="463"/>
      <c r="D110" s="463"/>
      <c r="E110" s="463"/>
      <c r="F110" s="463"/>
      <c r="G110" s="463"/>
      <c r="H110" s="463"/>
      <c r="I110" s="463"/>
      <c r="J110" s="463"/>
      <c r="K110" s="463"/>
      <c r="L110" s="463"/>
      <c r="M110" s="463"/>
      <c r="N110" s="463"/>
      <c r="O110" s="473" t="s">
        <v>320</v>
      </c>
      <c r="P110" s="473"/>
      <c r="Q110" s="467">
        <f>O108*Q108</f>
        <v>0</v>
      </c>
      <c r="R110" s="467"/>
      <c r="S110" s="468"/>
      <c r="T110" s="90"/>
    </row>
    <row r="111" spans="1:20" ht="15" customHeight="1" thickBot="1" x14ac:dyDescent="0.3">
      <c r="A111" s="68"/>
      <c r="B111" s="633"/>
      <c r="C111" s="464"/>
      <c r="D111" s="464"/>
      <c r="E111" s="464"/>
      <c r="F111" s="464"/>
      <c r="G111" s="464"/>
      <c r="H111" s="464"/>
      <c r="I111" s="464"/>
      <c r="J111" s="464"/>
      <c r="K111" s="464"/>
      <c r="L111" s="464"/>
      <c r="M111" s="464"/>
      <c r="N111" s="464"/>
      <c r="O111" s="474"/>
      <c r="P111" s="474"/>
      <c r="Q111" s="469"/>
      <c r="R111" s="469"/>
      <c r="S111" s="470"/>
      <c r="T111" s="89"/>
    </row>
    <row r="112" spans="1:20" ht="15" customHeight="1" x14ac:dyDescent="0.25">
      <c r="A112" s="68"/>
      <c r="B112" s="642">
        <v>260</v>
      </c>
      <c r="C112" s="447"/>
      <c r="D112" s="447"/>
      <c r="E112" s="447"/>
      <c r="F112" s="447"/>
      <c r="G112" s="447"/>
      <c r="H112" s="447"/>
      <c r="I112" s="447"/>
      <c r="J112" s="447"/>
      <c r="K112" s="447"/>
      <c r="L112" s="447"/>
      <c r="M112" s="450" t="s">
        <v>33</v>
      </c>
      <c r="N112" s="450"/>
      <c r="O112" s="450" t="s">
        <v>35</v>
      </c>
      <c r="P112" s="450"/>
      <c r="Q112" s="450" t="s">
        <v>319</v>
      </c>
      <c r="R112" s="450"/>
      <c r="S112" s="451"/>
      <c r="T112" s="86"/>
    </row>
    <row r="113" spans="1:20" ht="15" customHeight="1" x14ac:dyDescent="0.25">
      <c r="A113" s="68"/>
      <c r="B113" s="643"/>
      <c r="C113" s="471"/>
      <c r="D113" s="471"/>
      <c r="E113" s="471"/>
      <c r="F113" s="471"/>
      <c r="G113" s="471"/>
      <c r="H113" s="471"/>
      <c r="I113" s="471"/>
      <c r="J113" s="471"/>
      <c r="K113" s="471"/>
      <c r="L113" s="471"/>
      <c r="M113" s="637"/>
      <c r="N113" s="637"/>
      <c r="O113" s="453"/>
      <c r="P113" s="453"/>
      <c r="Q113" s="638"/>
      <c r="R113" s="638"/>
      <c r="S113" s="639"/>
      <c r="T113" s="86"/>
    </row>
    <row r="114" spans="1:20" ht="15" customHeight="1" x14ac:dyDescent="0.25">
      <c r="A114" s="68"/>
      <c r="B114" s="643"/>
      <c r="C114" s="471"/>
      <c r="D114" s="471"/>
      <c r="E114" s="471"/>
      <c r="F114" s="471"/>
      <c r="G114" s="471"/>
      <c r="H114" s="471"/>
      <c r="I114" s="471"/>
      <c r="J114" s="471"/>
      <c r="K114" s="471"/>
      <c r="L114" s="471"/>
      <c r="M114" s="637"/>
      <c r="N114" s="637"/>
      <c r="O114" s="453"/>
      <c r="P114" s="453"/>
      <c r="Q114" s="638"/>
      <c r="R114" s="638"/>
      <c r="S114" s="639"/>
      <c r="T114" s="87"/>
    </row>
    <row r="115" spans="1:20" ht="15" customHeight="1" x14ac:dyDescent="0.25">
      <c r="A115" s="68"/>
      <c r="B115" s="640" t="s">
        <v>36</v>
      </c>
      <c r="C115" s="463"/>
      <c r="D115" s="463"/>
      <c r="E115" s="463"/>
      <c r="F115" s="463"/>
      <c r="G115" s="463"/>
      <c r="H115" s="463"/>
      <c r="I115" s="463"/>
      <c r="J115" s="463"/>
      <c r="K115" s="463"/>
      <c r="L115" s="463"/>
      <c r="M115" s="463"/>
      <c r="N115" s="463"/>
      <c r="O115" s="465" t="s">
        <v>320</v>
      </c>
      <c r="P115" s="465"/>
      <c r="Q115" s="467">
        <f>O113*Q113</f>
        <v>0</v>
      </c>
      <c r="R115" s="467"/>
      <c r="S115" s="468"/>
      <c r="T115" s="86"/>
    </row>
    <row r="116" spans="1:20" ht="15" customHeight="1" thickBot="1" x14ac:dyDescent="0.3">
      <c r="A116" s="68"/>
      <c r="B116" s="641"/>
      <c r="C116" s="464"/>
      <c r="D116" s="464"/>
      <c r="E116" s="464"/>
      <c r="F116" s="464"/>
      <c r="G116" s="464"/>
      <c r="H116" s="464"/>
      <c r="I116" s="464"/>
      <c r="J116" s="464"/>
      <c r="K116" s="464"/>
      <c r="L116" s="464"/>
      <c r="M116" s="464"/>
      <c r="N116" s="464"/>
      <c r="O116" s="466"/>
      <c r="P116" s="466"/>
      <c r="Q116" s="469"/>
      <c r="R116" s="469"/>
      <c r="S116" s="470"/>
      <c r="T116" s="89"/>
    </row>
    <row r="117" spans="1:20" ht="15" customHeight="1" x14ac:dyDescent="0.25">
      <c r="A117" s="68"/>
      <c r="B117" s="634">
        <v>270</v>
      </c>
      <c r="C117" s="447"/>
      <c r="D117" s="447"/>
      <c r="E117" s="447"/>
      <c r="F117" s="447"/>
      <c r="G117" s="447"/>
      <c r="H117" s="447"/>
      <c r="I117" s="447"/>
      <c r="J117" s="447"/>
      <c r="K117" s="447"/>
      <c r="L117" s="447"/>
      <c r="M117" s="472" t="s">
        <v>33</v>
      </c>
      <c r="N117" s="472"/>
      <c r="O117" s="472" t="s">
        <v>35</v>
      </c>
      <c r="P117" s="472"/>
      <c r="Q117" s="472" t="s">
        <v>319</v>
      </c>
      <c r="R117" s="472"/>
      <c r="S117" s="636"/>
      <c r="T117" s="90"/>
    </row>
    <row r="118" spans="1:20" ht="15" customHeight="1" x14ac:dyDescent="0.25">
      <c r="A118" s="68"/>
      <c r="B118" s="635"/>
      <c r="C118" s="471"/>
      <c r="D118" s="471"/>
      <c r="E118" s="471"/>
      <c r="F118" s="471"/>
      <c r="G118" s="471"/>
      <c r="H118" s="471"/>
      <c r="I118" s="471"/>
      <c r="J118" s="471"/>
      <c r="K118" s="471"/>
      <c r="L118" s="471"/>
      <c r="M118" s="637"/>
      <c r="N118" s="637"/>
      <c r="O118" s="453"/>
      <c r="P118" s="453"/>
      <c r="Q118" s="638"/>
      <c r="R118" s="638"/>
      <c r="S118" s="639"/>
      <c r="T118" s="90"/>
    </row>
    <row r="119" spans="1:20" ht="15" customHeight="1" x14ac:dyDescent="0.25">
      <c r="A119" s="68"/>
      <c r="B119" s="635"/>
      <c r="C119" s="471"/>
      <c r="D119" s="471"/>
      <c r="E119" s="471"/>
      <c r="F119" s="471"/>
      <c r="G119" s="471"/>
      <c r="H119" s="471"/>
      <c r="I119" s="471"/>
      <c r="J119" s="471"/>
      <c r="K119" s="471"/>
      <c r="L119" s="471"/>
      <c r="M119" s="637"/>
      <c r="N119" s="637"/>
      <c r="O119" s="453"/>
      <c r="P119" s="453"/>
      <c r="Q119" s="638"/>
      <c r="R119" s="638"/>
      <c r="S119" s="639"/>
      <c r="T119" s="87"/>
    </row>
    <row r="120" spans="1:20" ht="15" customHeight="1" x14ac:dyDescent="0.25">
      <c r="A120" s="68"/>
      <c r="B120" s="632" t="s">
        <v>36</v>
      </c>
      <c r="C120" s="463"/>
      <c r="D120" s="463"/>
      <c r="E120" s="463"/>
      <c r="F120" s="463"/>
      <c r="G120" s="463"/>
      <c r="H120" s="463"/>
      <c r="I120" s="463"/>
      <c r="J120" s="463"/>
      <c r="K120" s="463"/>
      <c r="L120" s="463"/>
      <c r="M120" s="463"/>
      <c r="N120" s="463"/>
      <c r="O120" s="473" t="s">
        <v>320</v>
      </c>
      <c r="P120" s="473"/>
      <c r="Q120" s="467">
        <f>O118*Q118</f>
        <v>0</v>
      </c>
      <c r="R120" s="467"/>
      <c r="S120" s="468"/>
      <c r="T120" s="90"/>
    </row>
    <row r="121" spans="1:20" ht="15" customHeight="1" thickBot="1" x14ac:dyDescent="0.3">
      <c r="A121" s="68"/>
      <c r="B121" s="633"/>
      <c r="C121" s="464"/>
      <c r="D121" s="464"/>
      <c r="E121" s="464"/>
      <c r="F121" s="464"/>
      <c r="G121" s="464"/>
      <c r="H121" s="464"/>
      <c r="I121" s="464"/>
      <c r="J121" s="464"/>
      <c r="K121" s="464"/>
      <c r="L121" s="464"/>
      <c r="M121" s="464"/>
      <c r="N121" s="464"/>
      <c r="O121" s="474"/>
      <c r="P121" s="474"/>
      <c r="Q121" s="469"/>
      <c r="R121" s="469"/>
      <c r="S121" s="470"/>
      <c r="T121" s="89"/>
    </row>
    <row r="122" spans="1:20" ht="15" customHeight="1" x14ac:dyDescent="0.25">
      <c r="A122" s="68"/>
      <c r="B122" s="642">
        <v>280</v>
      </c>
      <c r="C122" s="447"/>
      <c r="D122" s="447"/>
      <c r="E122" s="447"/>
      <c r="F122" s="447"/>
      <c r="G122" s="447"/>
      <c r="H122" s="447"/>
      <c r="I122" s="447"/>
      <c r="J122" s="447"/>
      <c r="K122" s="447"/>
      <c r="L122" s="447"/>
      <c r="M122" s="450" t="s">
        <v>33</v>
      </c>
      <c r="N122" s="450"/>
      <c r="O122" s="450" t="s">
        <v>35</v>
      </c>
      <c r="P122" s="450"/>
      <c r="Q122" s="450" t="s">
        <v>319</v>
      </c>
      <c r="R122" s="450"/>
      <c r="S122" s="451"/>
      <c r="T122" s="86"/>
    </row>
    <row r="123" spans="1:20" ht="15" customHeight="1" x14ac:dyDescent="0.25">
      <c r="A123" s="68"/>
      <c r="B123" s="643"/>
      <c r="C123" s="471"/>
      <c r="D123" s="471"/>
      <c r="E123" s="471"/>
      <c r="F123" s="471"/>
      <c r="G123" s="471"/>
      <c r="H123" s="471"/>
      <c r="I123" s="471"/>
      <c r="J123" s="471"/>
      <c r="K123" s="471"/>
      <c r="L123" s="471"/>
      <c r="M123" s="637"/>
      <c r="N123" s="637"/>
      <c r="O123" s="453"/>
      <c r="P123" s="453"/>
      <c r="Q123" s="638"/>
      <c r="R123" s="638"/>
      <c r="S123" s="639"/>
      <c r="T123" s="86"/>
    </row>
    <row r="124" spans="1:20" ht="15" customHeight="1" x14ac:dyDescent="0.25">
      <c r="A124" s="68"/>
      <c r="B124" s="643"/>
      <c r="C124" s="471"/>
      <c r="D124" s="471"/>
      <c r="E124" s="471"/>
      <c r="F124" s="471"/>
      <c r="G124" s="471"/>
      <c r="H124" s="471"/>
      <c r="I124" s="471"/>
      <c r="J124" s="471"/>
      <c r="K124" s="471"/>
      <c r="L124" s="471"/>
      <c r="M124" s="637"/>
      <c r="N124" s="637"/>
      <c r="O124" s="453"/>
      <c r="P124" s="453"/>
      <c r="Q124" s="638"/>
      <c r="R124" s="638"/>
      <c r="S124" s="639"/>
      <c r="T124" s="87"/>
    </row>
    <row r="125" spans="1:20" ht="15" customHeight="1" x14ac:dyDescent="0.25">
      <c r="A125" s="68"/>
      <c r="B125" s="640" t="s">
        <v>36</v>
      </c>
      <c r="C125" s="463"/>
      <c r="D125" s="463"/>
      <c r="E125" s="463"/>
      <c r="F125" s="463"/>
      <c r="G125" s="463"/>
      <c r="H125" s="463"/>
      <c r="I125" s="463"/>
      <c r="J125" s="463"/>
      <c r="K125" s="463"/>
      <c r="L125" s="463"/>
      <c r="M125" s="463"/>
      <c r="N125" s="463"/>
      <c r="O125" s="465" t="s">
        <v>320</v>
      </c>
      <c r="P125" s="465"/>
      <c r="Q125" s="467">
        <f>O123*Q123</f>
        <v>0</v>
      </c>
      <c r="R125" s="467"/>
      <c r="S125" s="468"/>
      <c r="T125" s="86"/>
    </row>
    <row r="126" spans="1:20" ht="15" customHeight="1" thickBot="1" x14ac:dyDescent="0.3">
      <c r="A126" s="68"/>
      <c r="B126" s="641"/>
      <c r="C126" s="464"/>
      <c r="D126" s="464"/>
      <c r="E126" s="464"/>
      <c r="F126" s="464"/>
      <c r="G126" s="464"/>
      <c r="H126" s="464"/>
      <c r="I126" s="464"/>
      <c r="J126" s="464"/>
      <c r="K126" s="464"/>
      <c r="L126" s="464"/>
      <c r="M126" s="464"/>
      <c r="N126" s="464"/>
      <c r="O126" s="466"/>
      <c r="P126" s="466"/>
      <c r="Q126" s="469"/>
      <c r="R126" s="469"/>
      <c r="S126" s="470"/>
      <c r="T126" s="89"/>
    </row>
    <row r="127" spans="1:20" ht="15" customHeight="1" x14ac:dyDescent="0.25">
      <c r="A127" s="68"/>
      <c r="B127" s="634">
        <v>290</v>
      </c>
      <c r="C127" s="447"/>
      <c r="D127" s="447"/>
      <c r="E127" s="447"/>
      <c r="F127" s="447"/>
      <c r="G127" s="447"/>
      <c r="H127" s="447"/>
      <c r="I127" s="447"/>
      <c r="J127" s="447"/>
      <c r="K127" s="447"/>
      <c r="L127" s="447"/>
      <c r="M127" s="472" t="s">
        <v>33</v>
      </c>
      <c r="N127" s="472"/>
      <c r="O127" s="472" t="s">
        <v>35</v>
      </c>
      <c r="P127" s="472"/>
      <c r="Q127" s="472" t="s">
        <v>319</v>
      </c>
      <c r="R127" s="472"/>
      <c r="S127" s="636"/>
      <c r="T127" s="90"/>
    </row>
    <row r="128" spans="1:20" ht="15" customHeight="1" x14ac:dyDescent="0.25">
      <c r="A128" s="68"/>
      <c r="B128" s="635"/>
      <c r="C128" s="471"/>
      <c r="D128" s="471"/>
      <c r="E128" s="471"/>
      <c r="F128" s="471"/>
      <c r="G128" s="471"/>
      <c r="H128" s="471"/>
      <c r="I128" s="471"/>
      <c r="J128" s="471"/>
      <c r="K128" s="471"/>
      <c r="L128" s="471"/>
      <c r="M128" s="637"/>
      <c r="N128" s="637"/>
      <c r="O128" s="453"/>
      <c r="P128" s="453"/>
      <c r="Q128" s="638"/>
      <c r="R128" s="638"/>
      <c r="S128" s="639"/>
      <c r="T128" s="90"/>
    </row>
    <row r="129" spans="1:21" ht="15" customHeight="1" x14ac:dyDescent="0.25">
      <c r="A129" s="68"/>
      <c r="B129" s="635"/>
      <c r="C129" s="471"/>
      <c r="D129" s="471"/>
      <c r="E129" s="471"/>
      <c r="F129" s="471"/>
      <c r="G129" s="471"/>
      <c r="H129" s="471"/>
      <c r="I129" s="471"/>
      <c r="J129" s="471"/>
      <c r="K129" s="471"/>
      <c r="L129" s="471"/>
      <c r="M129" s="637"/>
      <c r="N129" s="637"/>
      <c r="O129" s="453"/>
      <c r="P129" s="453"/>
      <c r="Q129" s="638"/>
      <c r="R129" s="638"/>
      <c r="S129" s="639"/>
      <c r="T129" s="87"/>
    </row>
    <row r="130" spans="1:21" ht="15" customHeight="1" x14ac:dyDescent="0.25">
      <c r="A130" s="68"/>
      <c r="B130" s="632" t="s">
        <v>36</v>
      </c>
      <c r="C130" s="463"/>
      <c r="D130" s="463"/>
      <c r="E130" s="463"/>
      <c r="F130" s="463"/>
      <c r="G130" s="463"/>
      <c r="H130" s="463"/>
      <c r="I130" s="463"/>
      <c r="J130" s="463"/>
      <c r="K130" s="463"/>
      <c r="L130" s="463"/>
      <c r="M130" s="463"/>
      <c r="N130" s="463"/>
      <c r="O130" s="473" t="s">
        <v>320</v>
      </c>
      <c r="P130" s="473"/>
      <c r="Q130" s="467">
        <f>O128*Q128</f>
        <v>0</v>
      </c>
      <c r="R130" s="467"/>
      <c r="S130" s="468"/>
      <c r="T130" s="90"/>
    </row>
    <row r="131" spans="1:21" ht="15" customHeight="1" thickBot="1" x14ac:dyDescent="0.3">
      <c r="A131" s="68"/>
      <c r="B131" s="633"/>
      <c r="C131" s="464"/>
      <c r="D131" s="464"/>
      <c r="E131" s="464"/>
      <c r="F131" s="464"/>
      <c r="G131" s="464"/>
      <c r="H131" s="464"/>
      <c r="I131" s="464"/>
      <c r="J131" s="464"/>
      <c r="K131" s="464"/>
      <c r="L131" s="464"/>
      <c r="M131" s="464"/>
      <c r="N131" s="464"/>
      <c r="O131" s="474"/>
      <c r="P131" s="474"/>
      <c r="Q131" s="469"/>
      <c r="R131" s="469"/>
      <c r="S131" s="470"/>
      <c r="T131" s="89"/>
    </row>
    <row r="132" spans="1:21" ht="15" customHeight="1" x14ac:dyDescent="0.25">
      <c r="A132" s="68"/>
      <c r="B132" s="642">
        <v>300</v>
      </c>
      <c r="C132" s="447"/>
      <c r="D132" s="447"/>
      <c r="E132" s="447"/>
      <c r="F132" s="447"/>
      <c r="G132" s="447"/>
      <c r="H132" s="447"/>
      <c r="I132" s="447"/>
      <c r="J132" s="447"/>
      <c r="K132" s="447"/>
      <c r="L132" s="447"/>
      <c r="M132" s="450" t="s">
        <v>33</v>
      </c>
      <c r="N132" s="450"/>
      <c r="O132" s="450" t="s">
        <v>35</v>
      </c>
      <c r="P132" s="450"/>
      <c r="Q132" s="450" t="s">
        <v>319</v>
      </c>
      <c r="R132" s="450"/>
      <c r="S132" s="451"/>
      <c r="T132" s="86"/>
    </row>
    <row r="133" spans="1:21" ht="15" customHeight="1" x14ac:dyDescent="0.25">
      <c r="A133" s="68"/>
      <c r="B133" s="643"/>
      <c r="C133" s="471"/>
      <c r="D133" s="471"/>
      <c r="E133" s="471"/>
      <c r="F133" s="471"/>
      <c r="G133" s="471"/>
      <c r="H133" s="471"/>
      <c r="I133" s="471"/>
      <c r="J133" s="471"/>
      <c r="K133" s="471"/>
      <c r="L133" s="471"/>
      <c r="M133" s="637"/>
      <c r="N133" s="637"/>
      <c r="O133" s="453"/>
      <c r="P133" s="453"/>
      <c r="Q133" s="638"/>
      <c r="R133" s="638"/>
      <c r="S133" s="639"/>
      <c r="T133" s="86"/>
    </row>
    <row r="134" spans="1:21" ht="15" customHeight="1" x14ac:dyDescent="0.25">
      <c r="A134" s="68"/>
      <c r="B134" s="643"/>
      <c r="C134" s="471"/>
      <c r="D134" s="471"/>
      <c r="E134" s="471"/>
      <c r="F134" s="471"/>
      <c r="G134" s="471"/>
      <c r="H134" s="471"/>
      <c r="I134" s="471"/>
      <c r="J134" s="471"/>
      <c r="K134" s="471"/>
      <c r="L134" s="471"/>
      <c r="M134" s="637"/>
      <c r="N134" s="637"/>
      <c r="O134" s="453"/>
      <c r="P134" s="453"/>
      <c r="Q134" s="638"/>
      <c r="R134" s="638"/>
      <c r="S134" s="639"/>
      <c r="T134" s="87"/>
    </row>
    <row r="135" spans="1:21" ht="15" customHeight="1" x14ac:dyDescent="0.25">
      <c r="A135" s="68"/>
      <c r="B135" s="640" t="s">
        <v>36</v>
      </c>
      <c r="C135" s="463"/>
      <c r="D135" s="463"/>
      <c r="E135" s="463"/>
      <c r="F135" s="463"/>
      <c r="G135" s="463"/>
      <c r="H135" s="463"/>
      <c r="I135" s="463"/>
      <c r="J135" s="463"/>
      <c r="K135" s="463"/>
      <c r="L135" s="463"/>
      <c r="M135" s="463"/>
      <c r="N135" s="463"/>
      <c r="O135" s="465" t="s">
        <v>320</v>
      </c>
      <c r="P135" s="465"/>
      <c r="Q135" s="467">
        <f>O133*Q133</f>
        <v>0</v>
      </c>
      <c r="R135" s="467"/>
      <c r="S135" s="468"/>
      <c r="T135" s="86"/>
    </row>
    <row r="136" spans="1:21" ht="15" customHeight="1" thickBot="1" x14ac:dyDescent="0.3">
      <c r="A136" s="68"/>
      <c r="B136" s="641"/>
      <c r="C136" s="464"/>
      <c r="D136" s="464"/>
      <c r="E136" s="464"/>
      <c r="F136" s="464"/>
      <c r="G136" s="464"/>
      <c r="H136" s="464"/>
      <c r="I136" s="464"/>
      <c r="J136" s="464"/>
      <c r="K136" s="464"/>
      <c r="L136" s="464"/>
      <c r="M136" s="464"/>
      <c r="N136" s="464"/>
      <c r="O136" s="466"/>
      <c r="P136" s="466"/>
      <c r="Q136" s="469"/>
      <c r="R136" s="469"/>
      <c r="S136" s="470"/>
      <c r="T136" s="89"/>
    </row>
    <row r="137" spans="1:21" ht="15" customHeight="1" x14ac:dyDescent="0.25">
      <c r="A137" s="68"/>
      <c r="B137" s="634">
        <v>310</v>
      </c>
      <c r="C137" s="447"/>
      <c r="D137" s="447"/>
      <c r="E137" s="447"/>
      <c r="F137" s="447"/>
      <c r="G137" s="447"/>
      <c r="H137" s="447"/>
      <c r="I137" s="447"/>
      <c r="J137" s="447"/>
      <c r="K137" s="447"/>
      <c r="L137" s="447"/>
      <c r="M137" s="472" t="s">
        <v>33</v>
      </c>
      <c r="N137" s="472"/>
      <c r="O137" s="472" t="s">
        <v>35</v>
      </c>
      <c r="P137" s="472"/>
      <c r="Q137" s="472" t="s">
        <v>319</v>
      </c>
      <c r="R137" s="472"/>
      <c r="S137" s="636"/>
      <c r="T137" s="90"/>
    </row>
    <row r="138" spans="1:21" ht="15" customHeight="1" x14ac:dyDescent="0.25">
      <c r="A138" s="68"/>
      <c r="B138" s="635"/>
      <c r="C138" s="471"/>
      <c r="D138" s="471"/>
      <c r="E138" s="471"/>
      <c r="F138" s="471"/>
      <c r="G138" s="471"/>
      <c r="H138" s="471"/>
      <c r="I138" s="471"/>
      <c r="J138" s="471"/>
      <c r="K138" s="471"/>
      <c r="L138" s="471"/>
      <c r="M138" s="637"/>
      <c r="N138" s="637"/>
      <c r="O138" s="453"/>
      <c r="P138" s="453"/>
      <c r="Q138" s="638"/>
      <c r="R138" s="638"/>
      <c r="S138" s="639"/>
      <c r="T138" s="90"/>
    </row>
    <row r="139" spans="1:21" ht="15" customHeight="1" x14ac:dyDescent="0.25">
      <c r="A139" s="68"/>
      <c r="B139" s="635"/>
      <c r="C139" s="471"/>
      <c r="D139" s="471"/>
      <c r="E139" s="471"/>
      <c r="F139" s="471"/>
      <c r="G139" s="471"/>
      <c r="H139" s="471"/>
      <c r="I139" s="471"/>
      <c r="J139" s="471"/>
      <c r="K139" s="471"/>
      <c r="L139" s="471"/>
      <c r="M139" s="637"/>
      <c r="N139" s="637"/>
      <c r="O139" s="453"/>
      <c r="P139" s="453"/>
      <c r="Q139" s="638"/>
      <c r="R139" s="638"/>
      <c r="S139" s="639"/>
      <c r="T139" s="87"/>
      <c r="U139" s="92"/>
    </row>
    <row r="140" spans="1:21" ht="15" customHeight="1" x14ac:dyDescent="0.25">
      <c r="A140" s="68"/>
      <c r="B140" s="632" t="s">
        <v>36</v>
      </c>
      <c r="C140" s="463"/>
      <c r="D140" s="463"/>
      <c r="E140" s="463"/>
      <c r="F140" s="463"/>
      <c r="G140" s="463"/>
      <c r="H140" s="463"/>
      <c r="I140" s="463"/>
      <c r="J140" s="463"/>
      <c r="K140" s="463"/>
      <c r="L140" s="463"/>
      <c r="M140" s="463"/>
      <c r="N140" s="463"/>
      <c r="O140" s="473" t="s">
        <v>320</v>
      </c>
      <c r="P140" s="473"/>
      <c r="Q140" s="467">
        <f>O138*Q138</f>
        <v>0</v>
      </c>
      <c r="R140" s="467"/>
      <c r="S140" s="468"/>
      <c r="T140" s="90"/>
    </row>
    <row r="141" spans="1:21" ht="15" customHeight="1" thickBot="1" x14ac:dyDescent="0.3">
      <c r="A141" s="68"/>
      <c r="B141" s="633"/>
      <c r="C141" s="464"/>
      <c r="D141" s="464"/>
      <c r="E141" s="464"/>
      <c r="F141" s="464"/>
      <c r="G141" s="464"/>
      <c r="H141" s="464"/>
      <c r="I141" s="464"/>
      <c r="J141" s="464"/>
      <c r="K141" s="464"/>
      <c r="L141" s="464"/>
      <c r="M141" s="464"/>
      <c r="N141" s="464"/>
      <c r="O141" s="474"/>
      <c r="P141" s="474"/>
      <c r="Q141" s="469"/>
      <c r="R141" s="469"/>
      <c r="S141" s="470"/>
      <c r="T141" s="89"/>
    </row>
    <row r="142" spans="1:21" ht="27" customHeight="1" thickBot="1" x14ac:dyDescent="0.3">
      <c r="A142" s="68"/>
      <c r="B142" s="477"/>
      <c r="C142" s="477"/>
      <c r="D142" s="477"/>
      <c r="E142" s="477"/>
      <c r="F142" s="477"/>
      <c r="G142" s="477"/>
      <c r="H142" s="477"/>
      <c r="I142" s="477"/>
      <c r="J142" s="478" t="s">
        <v>321</v>
      </c>
      <c r="K142" s="479"/>
      <c r="L142" s="479"/>
      <c r="M142" s="479"/>
      <c r="N142" s="479"/>
      <c r="O142" s="480">
        <f>SUM(O84,Q90,Q95,Q100,Q105,Q110,Q115,Q120,Q125,Q130,Q135,Q140)</f>
        <v>0</v>
      </c>
      <c r="P142" s="480"/>
      <c r="Q142" s="480"/>
      <c r="R142" s="480"/>
      <c r="S142" s="481"/>
      <c r="T142" s="93"/>
    </row>
    <row r="143" spans="1:21" x14ac:dyDescent="0.25">
      <c r="A143" s="68"/>
      <c r="B143" s="130"/>
      <c r="C143" s="130"/>
      <c r="D143" s="130"/>
      <c r="E143" s="130"/>
      <c r="F143" s="130"/>
      <c r="G143" s="130"/>
      <c r="H143" s="130"/>
      <c r="I143" s="130"/>
      <c r="J143" s="130"/>
      <c r="K143" s="130"/>
      <c r="L143" s="130"/>
      <c r="M143" s="130"/>
      <c r="N143" s="130"/>
      <c r="O143" s="130"/>
      <c r="P143" s="69" t="s">
        <v>27</v>
      </c>
      <c r="Q143" s="131"/>
      <c r="R143" s="131"/>
      <c r="S143" s="120"/>
      <c r="T143" s="120"/>
    </row>
    <row r="149" ht="15" customHeight="1" x14ac:dyDescent="0.25"/>
    <row r="150" ht="27" customHeight="1" x14ac:dyDescent="0.25"/>
    <row r="152" ht="15.75" customHeight="1" x14ac:dyDescent="0.25"/>
    <row r="155" ht="15" customHeight="1" x14ac:dyDescent="0.25"/>
  </sheetData>
  <sheetProtection password="C6F2" sheet="1" selectLockedCells="1"/>
  <mergeCells count="318">
    <mergeCell ref="O20:S20"/>
    <mergeCell ref="E7:K7"/>
    <mergeCell ref="B21:G21"/>
    <mergeCell ref="O21:S22"/>
    <mergeCell ref="O23:S23"/>
    <mergeCell ref="B1:L1"/>
    <mergeCell ref="D18:I19"/>
    <mergeCell ref="J18:M19"/>
    <mergeCell ref="N18:O19"/>
    <mergeCell ref="P18:S19"/>
    <mergeCell ref="B20:G20"/>
    <mergeCell ref="H20:N20"/>
    <mergeCell ref="C29:L31"/>
    <mergeCell ref="M29:N29"/>
    <mergeCell ref="O29:P29"/>
    <mergeCell ref="Q29:S29"/>
    <mergeCell ref="M30:N31"/>
    <mergeCell ref="O30:P31"/>
    <mergeCell ref="Q30:S31"/>
    <mergeCell ref="B29:B31"/>
    <mergeCell ref="B32:B33"/>
    <mergeCell ref="C32:N33"/>
    <mergeCell ref="O32:P33"/>
    <mergeCell ref="Q32:S33"/>
    <mergeCell ref="B37:B38"/>
    <mergeCell ref="C37:N38"/>
    <mergeCell ref="O37:P38"/>
    <mergeCell ref="Q37:S38"/>
    <mergeCell ref="B34:B36"/>
    <mergeCell ref="C34:L36"/>
    <mergeCell ref="M34:N34"/>
    <mergeCell ref="O34:P34"/>
    <mergeCell ref="Q34:S34"/>
    <mergeCell ref="M35:N36"/>
    <mergeCell ref="O35:P36"/>
    <mergeCell ref="Q35:S36"/>
    <mergeCell ref="B39:B41"/>
    <mergeCell ref="C39:L41"/>
    <mergeCell ref="M39:N39"/>
    <mergeCell ref="O39:P39"/>
    <mergeCell ref="Q39:S39"/>
    <mergeCell ref="M40:N41"/>
    <mergeCell ref="O40:P41"/>
    <mergeCell ref="Q40:S41"/>
    <mergeCell ref="B42:B43"/>
    <mergeCell ref="C42:N43"/>
    <mergeCell ref="O42:P43"/>
    <mergeCell ref="Q42:S43"/>
    <mergeCell ref="B44:B46"/>
    <mergeCell ref="C44:L46"/>
    <mergeCell ref="M44:N44"/>
    <mergeCell ref="O44:P44"/>
    <mergeCell ref="Q44:S44"/>
    <mergeCell ref="M45:N46"/>
    <mergeCell ref="O45:P46"/>
    <mergeCell ref="Q45:S46"/>
    <mergeCell ref="B47:B48"/>
    <mergeCell ref="C47:N48"/>
    <mergeCell ref="O47:P48"/>
    <mergeCell ref="Q47:S48"/>
    <mergeCell ref="B49:B51"/>
    <mergeCell ref="C49:L51"/>
    <mergeCell ref="M49:N49"/>
    <mergeCell ref="O49:P49"/>
    <mergeCell ref="Q49:S49"/>
    <mergeCell ref="M50:N51"/>
    <mergeCell ref="O50:P51"/>
    <mergeCell ref="Q50:S51"/>
    <mergeCell ref="B52:B53"/>
    <mergeCell ref="C52:N53"/>
    <mergeCell ref="O52:P53"/>
    <mergeCell ref="Q52:S53"/>
    <mergeCell ref="B54:B56"/>
    <mergeCell ref="C54:L56"/>
    <mergeCell ref="M54:N54"/>
    <mergeCell ref="O54:P54"/>
    <mergeCell ref="Q54:S54"/>
    <mergeCell ref="M55:N56"/>
    <mergeCell ref="O55:P56"/>
    <mergeCell ref="Q55:S56"/>
    <mergeCell ref="B57:B58"/>
    <mergeCell ref="C57:N58"/>
    <mergeCell ref="O57:P58"/>
    <mergeCell ref="Q57:S58"/>
    <mergeCell ref="B59:B61"/>
    <mergeCell ref="C59:L61"/>
    <mergeCell ref="M59:N59"/>
    <mergeCell ref="O59:P59"/>
    <mergeCell ref="Q59:S59"/>
    <mergeCell ref="M60:N61"/>
    <mergeCell ref="O60:P61"/>
    <mergeCell ref="Q60:S61"/>
    <mergeCell ref="B62:B63"/>
    <mergeCell ref="C62:N63"/>
    <mergeCell ref="O62:P63"/>
    <mergeCell ref="Q62:S63"/>
    <mergeCell ref="B64:B66"/>
    <mergeCell ref="C64:L66"/>
    <mergeCell ref="M64:N64"/>
    <mergeCell ref="O64:P64"/>
    <mergeCell ref="Q64:S64"/>
    <mergeCell ref="M65:N66"/>
    <mergeCell ref="O65:P66"/>
    <mergeCell ref="Q65:S66"/>
    <mergeCell ref="B67:B68"/>
    <mergeCell ref="C67:N68"/>
    <mergeCell ref="O67:P68"/>
    <mergeCell ref="Q67:S68"/>
    <mergeCell ref="B69:B71"/>
    <mergeCell ref="C69:L71"/>
    <mergeCell ref="M69:N69"/>
    <mergeCell ref="O69:P69"/>
    <mergeCell ref="Q69:S69"/>
    <mergeCell ref="M70:N71"/>
    <mergeCell ref="O70:P71"/>
    <mergeCell ref="Q70:S71"/>
    <mergeCell ref="B72:B73"/>
    <mergeCell ref="C72:N73"/>
    <mergeCell ref="O72:P73"/>
    <mergeCell ref="Q72:S73"/>
    <mergeCell ref="B74:B76"/>
    <mergeCell ref="C74:L76"/>
    <mergeCell ref="M74:N74"/>
    <mergeCell ref="O74:P74"/>
    <mergeCell ref="Q74:S74"/>
    <mergeCell ref="M75:N76"/>
    <mergeCell ref="O79:S79"/>
    <mergeCell ref="O75:P76"/>
    <mergeCell ref="Q75:S76"/>
    <mergeCell ref="B77:B78"/>
    <mergeCell ref="C77:N78"/>
    <mergeCell ref="O77:P78"/>
    <mergeCell ref="Q77:S78"/>
    <mergeCell ref="O12:S12"/>
    <mergeCell ref="O11:S11"/>
    <mergeCell ref="O14:S14"/>
    <mergeCell ref="O13:S13"/>
    <mergeCell ref="D81:I82"/>
    <mergeCell ref="J81:M82"/>
    <mergeCell ref="N81:O82"/>
    <mergeCell ref="P81:S82"/>
    <mergeCell ref="B79:I79"/>
    <mergeCell ref="J79:N79"/>
    <mergeCell ref="O24:P24"/>
    <mergeCell ref="Q24:S24"/>
    <mergeCell ref="M25:N26"/>
    <mergeCell ref="O25:P26"/>
    <mergeCell ref="Q25:S26"/>
    <mergeCell ref="B27:B28"/>
    <mergeCell ref="C27:N28"/>
    <mergeCell ref="O27:P28"/>
    <mergeCell ref="Q27:S28"/>
    <mergeCell ref="B83:G83"/>
    <mergeCell ref="H83:N83"/>
    <mergeCell ref="O83:S83"/>
    <mergeCell ref="B84:G84"/>
    <mergeCell ref="O84:S85"/>
    <mergeCell ref="V18:Y21"/>
    <mergeCell ref="V81:Y84"/>
    <mergeCell ref="B24:B26"/>
    <mergeCell ref="C24:L26"/>
    <mergeCell ref="M24:N24"/>
    <mergeCell ref="O86:S86"/>
    <mergeCell ref="B87:B89"/>
    <mergeCell ref="C87:L89"/>
    <mergeCell ref="M87:N87"/>
    <mergeCell ref="O87:P87"/>
    <mergeCell ref="Q87:S87"/>
    <mergeCell ref="M88:N89"/>
    <mergeCell ref="O88:P89"/>
    <mergeCell ref="Q88:S89"/>
    <mergeCell ref="B90:B91"/>
    <mergeCell ref="C90:N91"/>
    <mergeCell ref="O90:P91"/>
    <mergeCell ref="Q90:S91"/>
    <mergeCell ref="B92:B94"/>
    <mergeCell ref="C92:L94"/>
    <mergeCell ref="M92:N92"/>
    <mergeCell ref="O92:P92"/>
    <mergeCell ref="Q92:S92"/>
    <mergeCell ref="M93:N94"/>
    <mergeCell ref="O93:P94"/>
    <mergeCell ref="Q93:S94"/>
    <mergeCell ref="B95:B96"/>
    <mergeCell ref="C95:N96"/>
    <mergeCell ref="O95:P96"/>
    <mergeCell ref="Q95:S96"/>
    <mergeCell ref="B97:B99"/>
    <mergeCell ref="C97:L99"/>
    <mergeCell ref="M97:N97"/>
    <mergeCell ref="O97:P97"/>
    <mergeCell ref="Q97:S97"/>
    <mergeCell ref="M98:N99"/>
    <mergeCell ref="O98:P99"/>
    <mergeCell ref="Q98:S99"/>
    <mergeCell ref="B100:B101"/>
    <mergeCell ref="C100:N101"/>
    <mergeCell ref="O100:P101"/>
    <mergeCell ref="Q100:S101"/>
    <mergeCell ref="B102:B104"/>
    <mergeCell ref="C102:L104"/>
    <mergeCell ref="M102:N102"/>
    <mergeCell ref="O102:P102"/>
    <mergeCell ref="Q102:S102"/>
    <mergeCell ref="M103:N104"/>
    <mergeCell ref="O103:P104"/>
    <mergeCell ref="Q103:S104"/>
    <mergeCell ref="B105:B106"/>
    <mergeCell ref="C105:N106"/>
    <mergeCell ref="O105:P106"/>
    <mergeCell ref="Q105:S106"/>
    <mergeCell ref="B107:B109"/>
    <mergeCell ref="C107:L109"/>
    <mergeCell ref="M107:N107"/>
    <mergeCell ref="O107:P107"/>
    <mergeCell ref="Q107:S107"/>
    <mergeCell ref="M108:N109"/>
    <mergeCell ref="O108:P109"/>
    <mergeCell ref="Q108:S109"/>
    <mergeCell ref="B110:B111"/>
    <mergeCell ref="C110:N111"/>
    <mergeCell ref="O110:P111"/>
    <mergeCell ref="Q110:S111"/>
    <mergeCell ref="B112:B114"/>
    <mergeCell ref="C112:L114"/>
    <mergeCell ref="M112:N112"/>
    <mergeCell ref="O112:P112"/>
    <mergeCell ref="Q112:S112"/>
    <mergeCell ref="M113:N114"/>
    <mergeCell ref="O113:P114"/>
    <mergeCell ref="Q113:S114"/>
    <mergeCell ref="B115:B116"/>
    <mergeCell ref="C115:N116"/>
    <mergeCell ref="O115:P116"/>
    <mergeCell ref="Q115:S116"/>
    <mergeCell ref="B117:B119"/>
    <mergeCell ref="C117:L119"/>
    <mergeCell ref="M117:N117"/>
    <mergeCell ref="O117:P117"/>
    <mergeCell ref="Q117:S117"/>
    <mergeCell ref="M118:N119"/>
    <mergeCell ref="O118:P119"/>
    <mergeCell ref="Q118:S119"/>
    <mergeCell ref="B120:B121"/>
    <mergeCell ref="C120:N121"/>
    <mergeCell ref="O120:P121"/>
    <mergeCell ref="Q120:S121"/>
    <mergeCell ref="B122:B124"/>
    <mergeCell ref="C122:L124"/>
    <mergeCell ref="M122:N122"/>
    <mergeCell ref="O122:P122"/>
    <mergeCell ref="Q122:S122"/>
    <mergeCell ref="M123:N124"/>
    <mergeCell ref="O123:P124"/>
    <mergeCell ref="Q123:S124"/>
    <mergeCell ref="B125:B126"/>
    <mergeCell ref="C125:N126"/>
    <mergeCell ref="O125:P126"/>
    <mergeCell ref="Q125:S126"/>
    <mergeCell ref="B127:B129"/>
    <mergeCell ref="C127:L129"/>
    <mergeCell ref="M127:N127"/>
    <mergeCell ref="O127:P127"/>
    <mergeCell ref="Q127:S127"/>
    <mergeCell ref="M128:N129"/>
    <mergeCell ref="O128:P129"/>
    <mergeCell ref="Q128:S129"/>
    <mergeCell ref="B130:B131"/>
    <mergeCell ref="C130:N131"/>
    <mergeCell ref="O130:P131"/>
    <mergeCell ref="Q130:S131"/>
    <mergeCell ref="B132:B134"/>
    <mergeCell ref="C132:L134"/>
    <mergeCell ref="M132:N132"/>
    <mergeCell ref="O132:P132"/>
    <mergeCell ref="Q132:S132"/>
    <mergeCell ref="M133:N134"/>
    <mergeCell ref="O133:P134"/>
    <mergeCell ref="Q133:S134"/>
    <mergeCell ref="B135:B136"/>
    <mergeCell ref="C135:N136"/>
    <mergeCell ref="O135:P136"/>
    <mergeCell ref="Q135:S136"/>
    <mergeCell ref="B137:B139"/>
    <mergeCell ref="C137:L139"/>
    <mergeCell ref="M137:N137"/>
    <mergeCell ref="O137:P137"/>
    <mergeCell ref="Q137:S137"/>
    <mergeCell ref="M138:N139"/>
    <mergeCell ref="O138:P139"/>
    <mergeCell ref="Q138:S139"/>
    <mergeCell ref="B140:B141"/>
    <mergeCell ref="C140:N141"/>
    <mergeCell ref="O140:P141"/>
    <mergeCell ref="Q140:S141"/>
    <mergeCell ref="B142:I142"/>
    <mergeCell ref="J142:N142"/>
    <mergeCell ref="O142:S142"/>
    <mergeCell ref="B22:G23"/>
    <mergeCell ref="H21:N23"/>
    <mergeCell ref="H84:N86"/>
    <mergeCell ref="B85:G86"/>
    <mergeCell ref="E4:K4"/>
    <mergeCell ref="E12:K12"/>
    <mergeCell ref="E11:K11"/>
    <mergeCell ref="E10:K10"/>
    <mergeCell ref="E9:K9"/>
    <mergeCell ref="B80:S80"/>
    <mergeCell ref="M4:N5"/>
    <mergeCell ref="Q4:R5"/>
    <mergeCell ref="E5:K5"/>
    <mergeCell ref="C9:C12"/>
    <mergeCell ref="M3:N3"/>
    <mergeCell ref="Q3:R3"/>
    <mergeCell ref="O7:S7"/>
    <mergeCell ref="O10:S10"/>
    <mergeCell ref="O9:S9"/>
    <mergeCell ref="O8:S8"/>
  </mergeCells>
  <conditionalFormatting sqref="M25:N26 M30:N31 M35:N36 M40:N41 M45:N46 M50:N51 M55:N56 M60:N61 M65:N66 M70:N71 M75:N76 M88:N89 M93:N94 M98:N99 M103:N104 M108:N109 M113:N114 M118:N119 M123:N124 M128:N129 M133:N134 M138:N139">
    <cfRule type="expression" dxfId="1" priority="384" stopIfTrue="1">
      <formula>$O$4="OUI"</formula>
    </cfRule>
  </conditionalFormatting>
  <conditionalFormatting sqref="C27:N28 C32:N33 C37:N38 C42:N43 C47:N48 C52:N53 C57:N58 C62:N63 C67:N68 C72:N73 C77:N78 C90:N91 C95:N96 C100:N101 C105:N106 C110:N111 C115:N116 C120:N121 C125:N126 C135:N136 C130:N131 C140:N141">
    <cfRule type="expression" dxfId="0" priority="385" stopIfTrue="1">
      <formula>$S$4="OUI"</formula>
    </cfRule>
  </conditionalFormatting>
  <dataValidations count="2">
    <dataValidation type="list" allowBlank="1" showInputMessage="1" showErrorMessage="1" sqref="M87:N87" xr:uid="{9E77A143-6F35-4AA8-A9C0-0E266885E7E2}">
      <formula1>#REF!</formula1>
    </dataValidation>
    <dataValidation type="list" allowBlank="1" showInputMessage="1" showErrorMessage="1" sqref="B90:B91" xr:uid="{3FA75F7F-A989-422B-B8E3-C36B7E9A9FB2}">
      <formula1>#REF!</formula1>
    </dataValidation>
  </dataValidations>
  <printOptions horizontalCentered="1"/>
  <pageMargins left="0.23622047244094491" right="0.23622047244094491" top="0.27559055118110237" bottom="0.31496062992125984" header="0.27559055118110237" footer="0.31496062992125984"/>
  <pageSetup paperSize="9" scale="88" fitToHeight="2" orientation="portrait" verticalDpi="1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LongProperties xmlns="http://schemas.microsoft.com/office/2006/metadata/long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D1AC87317B6B942A86E05B3914735A0" ma:contentTypeVersion="9" ma:contentTypeDescription="Crée un document." ma:contentTypeScope="" ma:versionID="efc43cb7c482a0b3bf07257fed43d0de">
  <xsd:schema xmlns:xsd="http://www.w3.org/2001/XMLSchema" xmlns:xs="http://www.w3.org/2001/XMLSchema" xmlns:p="http://schemas.microsoft.com/office/2006/metadata/properties" xmlns:ns2="2643038f-f566-4bc7-a6f6-4ddc3a1e97ed" xmlns:ns3="19724a3f-d483-4f9d-ac6f-6daa8ba290dd" xmlns:ns4="e1169491-6133-4e11-acd0-3255b0f6771b" xmlns:ns5="a51a2abb-b8f5-47d2-9e69-0bb3592c908f" xmlns:ns6="http://schemas.microsoft.com/sharepoint/v4" targetNamespace="http://schemas.microsoft.com/office/2006/metadata/properties" ma:root="true" ma:fieldsID="0d7b482259e8cebde145ee317fe43bc9" ns2:_="" ns3:_="" ns4:_="" ns5:_="" ns6:_="">
    <xsd:import namespace="2643038f-f566-4bc7-a6f6-4ddc3a1e97ed"/>
    <xsd:import namespace="19724a3f-d483-4f9d-ac6f-6daa8ba290dd"/>
    <xsd:import namespace="e1169491-6133-4e11-acd0-3255b0f6771b"/>
    <xsd:import namespace="a51a2abb-b8f5-47d2-9e69-0bb3592c908f"/>
    <xsd:import namespace="http://schemas.microsoft.com/sharepoint/v4"/>
    <xsd:element name="properties">
      <xsd:complexType>
        <xsd:sequence>
          <xsd:element name="documentManagement">
            <xsd:complexType>
              <xsd:all>
                <xsd:element ref="ns2:Sous_x002d_Rubrique"/>
                <xsd:element ref="ns2:Source_x0020_de_x0020_Lien" minOccurs="0"/>
                <xsd:element ref="ns2:Type_x0020_Utilisation" minOccurs="0"/>
                <xsd:element ref="ns3:P_x00e9_riode_x0020_d_x2019_application" minOccurs="0"/>
                <xsd:element ref="ns4:Statut" minOccurs="0"/>
                <xsd:element ref="ns4:Description_x002f_Remarque" minOccurs="0"/>
                <xsd:element ref="ns4:R_x00e9_f_x00e9_rence" minOccurs="0"/>
                <xsd:element ref="ns5:ordre_x0020_affichage"/>
                <xsd:element ref="ns6:IconOverla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43038f-f566-4bc7-a6f6-4ddc3a1e97ed" elementFormDefault="qualified">
    <xsd:import namespace="http://schemas.microsoft.com/office/2006/documentManagement/types"/>
    <xsd:import namespace="http://schemas.microsoft.com/office/infopath/2007/PartnerControls"/>
    <xsd:element name="Sous_x002d_Rubrique" ma:index="8" ma:displayName="Sous-Rubrique" ma:default="à définir" ma:format="Dropdown" ma:internalName="Sous_x002d_Rubrique">
      <xsd:simpleType>
        <xsd:restriction base="dms:Choice">
          <xsd:enumeration value="Documents Généraux"/>
          <xsd:enumeration value="Sous-traitance"/>
          <xsd:enumeration value="Revues de Projets"/>
          <xsd:enumeration value="Enquêtes"/>
          <xsd:enumeration value="à définir"/>
        </xsd:restriction>
      </xsd:simpleType>
    </xsd:element>
    <xsd:element name="Source_x0020_de_x0020_Lien" ma:index="9" nillable="true" ma:displayName="Source du document" ma:default="à définir" ma:format="Dropdown" ma:internalName="Source_x0020_de_x0020_Lien">
      <xsd:simpleType>
        <xsd:restriction base="dms:Choice">
          <xsd:enumeration value="Intranet"/>
          <xsd:enumeration value="Internet"/>
          <xsd:enumeration value="Logiciel"/>
          <xsd:enumeration value="Dossier"/>
          <xsd:enumeration value="GED"/>
          <xsd:enumeration value="Bibliothèque"/>
          <xsd:enumeration value="Réseau L:"/>
          <xsd:enumeration value="Réseau K:"/>
          <xsd:enumeration value="ECPR"/>
          <xsd:enumeration value="à définir"/>
        </xsd:restriction>
      </xsd:simpleType>
    </xsd:element>
    <xsd:element name="Type_x0020_Utilisation" ma:index="10" nillable="true" ma:displayName="Type Utilisation" ma:default="à définir" ma:format="Dropdown" ma:internalName="Type_x0020_Utilisation">
      <xsd:simpleType>
        <xsd:restriction base="dms:Choice">
          <xsd:enumeration value="Note"/>
          <xsd:enumeration value="Liste / Récapitulatif"/>
          <xsd:enumeration value="Actualité"/>
          <xsd:enumeration value="Formulaire / Fiche"/>
          <xsd:enumeration value="Prix / Bordereau de Chiffrage"/>
          <xsd:enumeration value="CCTG"/>
          <xsd:enumeration value="Présentation"/>
          <xsd:enumeration value="Trame Type / Lettre Type / Etiquette"/>
          <xsd:enumeration value="Outil"/>
          <xsd:enumeration value="Autre"/>
          <xsd:enumeration value="à définir"/>
        </xsd:restriction>
      </xsd:simpleType>
    </xsd:element>
  </xsd:schema>
  <xsd:schema xmlns:xsd="http://www.w3.org/2001/XMLSchema" xmlns:xs="http://www.w3.org/2001/XMLSchema" xmlns:dms="http://schemas.microsoft.com/office/2006/documentManagement/types" xmlns:pc="http://schemas.microsoft.com/office/infopath/2007/PartnerControls" targetNamespace="19724a3f-d483-4f9d-ac6f-6daa8ba290dd" elementFormDefault="qualified">
    <xsd:import namespace="http://schemas.microsoft.com/office/2006/documentManagement/types"/>
    <xsd:import namespace="http://schemas.microsoft.com/office/infopath/2007/PartnerControls"/>
    <xsd:element name="P_x00e9_riode_x0020_d_x2019_application" ma:index="11" nillable="true" ma:displayName="Période d’application" ma:internalName="P_x00e9_riode_x0020_d_x2019_application">
      <xsd:simpleType>
        <xsd:restriction base="dms:Text">
          <xsd:maxLength value="50"/>
        </xsd:restriction>
      </xsd:simpleType>
    </xsd:element>
  </xsd:schema>
  <xsd:schema xmlns:xsd="http://www.w3.org/2001/XMLSchema" xmlns:xs="http://www.w3.org/2001/XMLSchema" xmlns:dms="http://schemas.microsoft.com/office/2006/documentManagement/types" xmlns:pc="http://schemas.microsoft.com/office/infopath/2007/PartnerControls" targetNamespace="e1169491-6133-4e11-acd0-3255b0f6771b" elementFormDefault="qualified">
    <xsd:import namespace="http://schemas.microsoft.com/office/2006/documentManagement/types"/>
    <xsd:import namespace="http://schemas.microsoft.com/office/infopath/2007/PartnerControls"/>
    <xsd:element name="Statut" ma:index="12" nillable="true" ma:displayName="Statut" ma:default="à définir" ma:format="Dropdown" ma:internalName="Statut">
      <xsd:simpleType>
        <xsd:restriction base="dms:Choice">
          <xsd:enumeration value="valide"/>
          <xsd:enumeration value="archive"/>
          <xsd:enumeration value="à définir"/>
        </xsd:restriction>
      </xsd:simpleType>
    </xsd:element>
    <xsd:element name="Description_x002f_Remarque" ma:index="13" nillable="true" ma:displayName="Description/Remarque" ma:internalName="Description_x002f_Remarque">
      <xsd:simpleType>
        <xsd:restriction base="dms:Note">
          <xsd:maxLength value="255"/>
        </xsd:restriction>
      </xsd:simpleType>
    </xsd:element>
    <xsd:element name="R_x00e9_f_x00e9_rence" ma:index="14" nillable="true" ma:displayName="Référence" ma:description="Nom GED ou autre" ma:internalName="R_x00e9_f_x00e9_renc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51a2abb-b8f5-47d2-9e69-0bb3592c908f" elementFormDefault="qualified">
    <xsd:import namespace="http://schemas.microsoft.com/office/2006/documentManagement/types"/>
    <xsd:import namespace="http://schemas.microsoft.com/office/infopath/2007/PartnerControls"/>
    <xsd:element name="ordre_x0020_affichage" ma:index="15" ma:displayName="Ordre" ma:decimals="0" ma:default="100" ma:description="Ordre d'affichage dans la Sous-rubrique (1 = prioritaire | 100 = position basse)" ma:internalName="ordre_x0020_affichage" ma:percentage="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6"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ma:readOnly="true"/>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P_x00e9_riode_x0020_d_x2019_application xmlns="19724a3f-d483-4f9d-ac6f-6daa8ba290dd" xsi:nil="true"/>
    <Description_x002f_Remarque xmlns="e1169491-6133-4e11-acd0-3255b0f6771b" xsi:nil="true"/>
    <IconOverlay xmlns="http://schemas.microsoft.com/sharepoint/v4" xsi:nil="true"/>
    <Source_x0020_de_x0020_Lien xmlns="2643038f-f566-4bc7-a6f6-4ddc3a1e97ed">Bibliothèque</Source_x0020_de_x0020_Lien>
    <Statut xmlns="e1169491-6133-4e11-acd0-3255b0f6771b">valide</Statut>
    <R_x00e9_f_x00e9_rence xmlns="e1169491-6133-4e11-acd0-3255b0f6771b" xsi:nil="true"/>
    <Type_x0020_Utilisation xmlns="2643038f-f566-4bc7-a6f6-4ddc3a1e97ed">à définir</Type_x0020_Utilisation>
    <Sous_x002d_Rubrique xmlns="2643038f-f566-4bc7-a6f6-4ddc3a1e97ed">Documents Généraux</Sous_x002d_Rubrique>
    <ordre_x0020_affichage xmlns="a51a2abb-b8f5-47d2-9e69-0bb3592c908f">1</ordre_x0020_affichage>
  </documentManagement>
</p:properties>
</file>

<file path=customXml/itemProps1.xml><?xml version="1.0" encoding="utf-8"?>
<ds:datastoreItem xmlns:ds="http://schemas.openxmlformats.org/officeDocument/2006/customXml" ds:itemID="{26AB2614-1760-4673-9D22-FD68EB58A999}">
  <ds:schemaRefs>
    <ds:schemaRef ds:uri="http://schemas.microsoft.com/sharepoint/v3/contenttype/forms"/>
  </ds:schemaRefs>
</ds:datastoreItem>
</file>

<file path=customXml/itemProps2.xml><?xml version="1.0" encoding="utf-8"?>
<ds:datastoreItem xmlns:ds="http://schemas.openxmlformats.org/officeDocument/2006/customXml" ds:itemID="{E6EF7ABA-875A-4907-9212-8F5E825A21FD}">
  <ds:schemaRefs>
    <ds:schemaRef ds:uri="http://schemas.microsoft.com/office/2006/metadata/longProperties"/>
  </ds:schemaRefs>
</ds:datastoreItem>
</file>

<file path=customXml/itemProps3.xml><?xml version="1.0" encoding="utf-8"?>
<ds:datastoreItem xmlns:ds="http://schemas.openxmlformats.org/officeDocument/2006/customXml" ds:itemID="{1DBD74D6-B456-4CE9-B827-693F652D6E2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643038f-f566-4bc7-a6f6-4ddc3a1e97ed"/>
    <ds:schemaRef ds:uri="19724a3f-d483-4f9d-ac6f-6daa8ba290dd"/>
    <ds:schemaRef ds:uri="e1169491-6133-4e11-acd0-3255b0f6771b"/>
    <ds:schemaRef ds:uri="a51a2abb-b8f5-47d2-9e69-0bb3592c908f"/>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D20DBE4-6E60-43CF-8DC4-F9565EA66C5A}">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2</vt:i4>
      </vt:variant>
    </vt:vector>
  </HeadingPairs>
  <TitlesOfParts>
    <vt:vector size="4" baseType="lpstr">
      <vt:lpstr>Fiche Creation Commande (P1)</vt:lpstr>
      <vt:lpstr>Fiche Creation Commande (P2)</vt:lpstr>
      <vt:lpstr>'Fiche Creation Commande (P1)'!Zone_d_impression</vt:lpstr>
      <vt:lpstr>'Fiche Creation Commande (P2)'!Zone_d_impression</vt:lpstr>
    </vt:vector>
  </TitlesOfParts>
  <Company>RTE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Fiche - Création de Commande</dc:title>
  <dc:creator>NIRLO Olivier</dc:creator>
  <cp:lastModifiedBy>Eric DURAND</cp:lastModifiedBy>
  <cp:lastPrinted>2017-10-09T15:22:08Z</cp:lastPrinted>
  <dcterms:created xsi:type="dcterms:W3CDTF">2012-10-17T13:39:10Z</dcterms:created>
  <dcterms:modified xsi:type="dcterms:W3CDTF">2026-03-10T12:54:48Z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y fmtid="{D5CDD505-2E9C-101B-9397-08002B2CF9AE}" pid="3" name="display_urn:schemas-microsoft-com:office:office#Editor">
    <vt:lpwstr>NIRLO Olivier</vt:lpwstr>
  </property>
  <property fmtid="{D5CDD505-2E9C-101B-9397-08002B2CF9AE}" pid="4" name="TemplateUrl">
    <vt:lpwstr/>
  </property>
  <property fmtid="{D5CDD505-2E9C-101B-9397-08002B2CF9AE}" pid="5" name="xd_ProgID">
    <vt:lpwstr/>
  </property>
  <property fmtid="{D5CDD505-2E9C-101B-9397-08002B2CF9AE}" pid="6" name="display_urn:schemas-microsoft-com:office:office#Author">
    <vt:lpwstr>NIRLO Olivier</vt:lpwstr>
  </property>
</Properties>
</file>